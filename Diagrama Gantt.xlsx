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codeName="ThisWorkbook"/>
  <xr:revisionPtr revIDLastSave="0" documentId="13_ncr:1_{95BDCB7E-91D5-4704-A7D1-C7264655AFC8}" xr6:coauthVersionLast="47" xr6:coauthVersionMax="47" xr10:uidLastSave="{00000000-0000-0000-0000-000000000000}"/>
  <bookViews>
    <workbookView xWindow="-120" yWindow="-120" windowWidth="29040" windowHeight="16440" xr2:uid="{00000000-000D-0000-FFFF-FFFF00000000}"/>
  </bookViews>
  <sheets>
    <sheet name="calendarioproyecto" sheetId="11" r:id="rId1"/>
  </sheets>
  <externalReferences>
    <externalReference r:id="rId2"/>
    <externalReference r:id="rId3"/>
    <externalReference r:id="rId4"/>
  </externalReferences>
  <definedNames>
    <definedName name="CIQWBGuid" hidden="1">"2cd8126d-26c3-430c-b7fa-a069e3a1fc62"</definedName>
    <definedName name="CODIGO1">[1]DIARIO!$C$12:$C$501</definedName>
    <definedName name="CODIGO2">[2]BALANCE!$A1</definedName>
    <definedName name="DEBE">[1]DIARIO!$F$12:$F$501</definedName>
    <definedName name="Fecha_final" localSheetId="0">calendarioproyecto!$G1</definedName>
    <definedName name="Fecha_incio" localSheetId="0">calendarioproyecto!$F1</definedName>
    <definedName name="HABER">[1]DIARIO!$G$12:$G$501</definedName>
    <definedName name="hoy" localSheetId="0">TODAY()</definedName>
    <definedName name="InicioDelProyecto">calendarioproyecto!$F$3</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41666.7099189815</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Progresos" localSheetId="0">calendarioproyecto!$E1</definedName>
    <definedName name="SemanaParaMostrar">calendarioproyecto!$F$4</definedName>
    <definedName name="_xlnm.Print_Titles" localSheetId="0">calendarioproyecto!$4:$6</definedName>
    <definedName name="Type">'[3]Maintenance Work Order'!#REF!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11" l="1"/>
  <c r="I28" i="11"/>
  <c r="F27" i="11"/>
  <c r="G27" i="11" s="1"/>
  <c r="I26" i="11"/>
  <c r="I24" i="11"/>
  <c r="I7" i="11"/>
  <c r="I27" i="11" l="1"/>
  <c r="F15" i="11"/>
  <c r="J5" i="11"/>
  <c r="I42" i="11"/>
  <c r="I39" i="11"/>
  <c r="I38" i="11"/>
  <c r="I37" i="11"/>
  <c r="I34" i="11"/>
  <c r="I29" i="11"/>
  <c r="I8" i="11"/>
  <c r="I14" i="11"/>
  <c r="G25" i="11" l="1"/>
  <c r="I25" i="11" s="1"/>
  <c r="G15" i="11"/>
  <c r="F30" i="11"/>
  <c r="G30" i="11" s="1"/>
  <c r="F31" i="11" s="1"/>
  <c r="I40" i="11"/>
  <c r="J6" i="11"/>
  <c r="F19" i="11" l="1"/>
  <c r="F23" i="11" s="1"/>
  <c r="F9" i="11" s="1"/>
  <c r="F10" i="11" s="1"/>
  <c r="G10" i="11" s="1"/>
  <c r="I15" i="11"/>
  <c r="G31" i="11"/>
  <c r="I31" i="11" s="1"/>
  <c r="I41" i="11"/>
  <c r="I30" i="11"/>
  <c r="G23" i="11"/>
  <c r="I23" i="11" s="1"/>
  <c r="K5" i="11"/>
  <c r="L5" i="11" s="1"/>
  <c r="M5" i="11" s="1"/>
  <c r="N5" i="11" s="1"/>
  <c r="O5" i="11" s="1"/>
  <c r="P5" i="11" s="1"/>
  <c r="Q5" i="11" s="1"/>
  <c r="J4" i="11"/>
  <c r="G19" i="11" l="1"/>
  <c r="F20" i="11" s="1"/>
  <c r="G20" i="11" s="1"/>
  <c r="G9" i="11"/>
  <c r="I9" i="11" s="1"/>
  <c r="I19" i="11"/>
  <c r="F22" i="11"/>
  <c r="F21" i="11"/>
  <c r="G21" i="11" s="1"/>
  <c r="I10" i="11"/>
  <c r="F11" i="11"/>
  <c r="G11" i="11" s="1"/>
  <c r="I20" i="11"/>
  <c r="G22" i="11"/>
  <c r="I22" i="11" s="1"/>
  <c r="Q4" i="11"/>
  <c r="R5" i="11"/>
  <c r="S5" i="11" s="1"/>
  <c r="T5" i="11" s="1"/>
  <c r="U5" i="11" s="1"/>
  <c r="V5" i="11" s="1"/>
  <c r="W5" i="11" s="1"/>
  <c r="X5" i="11" s="1"/>
  <c r="K6" i="11"/>
  <c r="I35" i="11" l="1"/>
  <c r="F12" i="11"/>
  <c r="F13" i="11" s="1"/>
  <c r="G13" i="11" s="1"/>
  <c r="I13" i="11" s="1"/>
  <c r="I33" i="11"/>
  <c r="I32" i="11"/>
  <c r="G12" i="11"/>
  <c r="I12" i="11" s="1"/>
  <c r="I11" i="11"/>
  <c r="X4" i="11"/>
  <c r="Y5" i="11"/>
  <c r="Z5" i="11" s="1"/>
  <c r="AA5" i="11" s="1"/>
  <c r="AB5" i="11" s="1"/>
  <c r="AC5" i="11" s="1"/>
  <c r="AD5" i="11" s="1"/>
  <c r="AE5" i="11" s="1"/>
  <c r="L6" i="11"/>
  <c r="AF5" i="11" l="1"/>
  <c r="AG5" i="11" s="1"/>
  <c r="AH5" i="11" s="1"/>
  <c r="AI5" i="11" s="1"/>
  <c r="AJ5" i="11" s="1"/>
  <c r="AK5" i="11" s="1"/>
  <c r="AE4" i="11"/>
  <c r="M6" i="11"/>
  <c r="AL5" i="11" l="1"/>
  <c r="AM5" i="11" s="1"/>
  <c r="AN5" i="11" s="1"/>
  <c r="AO5" i="11" s="1"/>
  <c r="AP5" i="11" s="1"/>
  <c r="AQ5" i="11" s="1"/>
  <c r="AR5" i="11" s="1"/>
  <c r="N6" i="11"/>
  <c r="AS5" i="11" l="1"/>
  <c r="AT5" i="11" s="1"/>
  <c r="AL4" i="11"/>
  <c r="O6" i="11"/>
  <c r="AU5" i="11" l="1"/>
  <c r="AT6" i="11"/>
  <c r="AS4" i="11"/>
  <c r="P6" i="11"/>
  <c r="AV5" i="11" l="1"/>
  <c r="AU6" i="11"/>
  <c r="AW5" i="11" l="1"/>
  <c r="AV6" i="11"/>
  <c r="Q6" i="11"/>
  <c r="R6" i="11"/>
  <c r="AX5" i="11" l="1"/>
  <c r="AW6" i="11"/>
  <c r="S6" i="11"/>
  <c r="AY5" i="11" l="1"/>
  <c r="AZ5" i="11" s="1"/>
  <c r="AX6" i="11"/>
  <c r="T6" i="11"/>
  <c r="AZ6" i="11" l="1"/>
  <c r="BA5" i="11"/>
  <c r="AZ4" i="11"/>
  <c r="AY6" i="11"/>
  <c r="U6" i="11"/>
  <c r="BB5" i="11" l="1"/>
  <c r="BA6" i="11"/>
  <c r="V6" i="11"/>
  <c r="BB6" i="11" l="1"/>
  <c r="BC5" i="11"/>
  <c r="W6" i="11"/>
  <c r="BC6" i="11" l="1"/>
  <c r="BD5" i="11"/>
  <c r="X6" i="11"/>
  <c r="BD6" i="11" l="1"/>
  <c r="BE5" i="11"/>
  <c r="Y6" i="11"/>
  <c r="BF5" i="11" l="1"/>
  <c r="BE6" i="11"/>
  <c r="Z6" i="11"/>
  <c r="BF6" i="11" l="1"/>
  <c r="BG5" i="11"/>
  <c r="AA6" i="11"/>
  <c r="BG6" i="11" l="1"/>
  <c r="BH5" i="11"/>
  <c r="BG4" i="11"/>
  <c r="AB6" i="11"/>
  <c r="BH6" i="11" l="1"/>
  <c r="BI5" i="11"/>
  <c r="AC6" i="11"/>
  <c r="BJ5" i="11" l="1"/>
  <c r="BI6" i="11"/>
  <c r="AD6" i="11"/>
  <c r="BK5" i="11" l="1"/>
  <c r="BJ6" i="11"/>
  <c r="AE6" i="11"/>
  <c r="BL5" i="11" l="1"/>
  <c r="BK6" i="11"/>
  <c r="AF6" i="11"/>
  <c r="BM5" i="11" l="1"/>
  <c r="BL6" i="11"/>
  <c r="AG6" i="11"/>
  <c r="BM6" i="11" l="1"/>
  <c r="AH6" i="11"/>
  <c r="AI6" i="11" l="1"/>
  <c r="AJ6" i="11" l="1"/>
  <c r="AK6" i="11" l="1"/>
  <c r="AL6" i="11" l="1"/>
  <c r="AM6" i="11" l="1"/>
  <c r="AN6" i="11" l="1"/>
  <c r="AO6" i="11" l="1"/>
  <c r="AP6" i="11" l="1"/>
  <c r="AQ6" i="11" l="1"/>
  <c r="AR6" i="11" l="1"/>
  <c r="AS6" i="11" l="1"/>
</calcChain>
</file>

<file path=xl/sharedStrings.xml><?xml version="1.0" encoding="utf-8"?>
<sst xmlns="http://schemas.openxmlformats.org/spreadsheetml/2006/main" count="98" uniqueCount="77">
  <si>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</si>
  <si>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</si>
  <si>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</si>
  <si>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</si>
  <si>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</si>
  <si>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</si>
  <si>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</si>
  <si>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</si>
  <si>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</si>
  <si>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</si>
  <si>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</si>
  <si>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</si>
  <si>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</si>
  <si>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Esta fila indica el final de la programación del proyecto. NO escriba nada en esta fila. 
Inserte nuevas filas encima de ésta para continuar creando la programación del proyecto.</t>
  </si>
  <si>
    <t>Nombre de la compañía</t>
  </si>
  <si>
    <t>TAREA</t>
  </si>
  <si>
    <t>Tarea 5</t>
  </si>
  <si>
    <t>Inserte nuevas filas ENCIMA de ésta</t>
  </si>
  <si>
    <t>Inicio del proyecto:</t>
  </si>
  <si>
    <t>Semana para mostrar:</t>
  </si>
  <si>
    <t>PROGRESO</t>
  </si>
  <si>
    <t>INICIO</t>
  </si>
  <si>
    <t>FIN</t>
  </si>
  <si>
    <t>DÍAS</t>
  </si>
  <si>
    <r>
      <rPr>
        <b/>
        <sz val="14"/>
        <color theme="1"/>
        <rFont val="Calibri"/>
        <family val="2"/>
        <scheme val="minor"/>
      </rPr>
      <t xml:space="preserve">DIAGRAMA DE GANTT </t>
    </r>
    <r>
      <rPr>
        <sz val="11"/>
        <color theme="1"/>
        <rFont val="Calibri"/>
        <family val="2"/>
        <scheme val="minor"/>
      </rPr>
      <t xml:space="preserve"> </t>
    </r>
  </si>
  <si>
    <t>DocuEstudia</t>
  </si>
  <si>
    <t>Jose Miguel Alvarez Fagua</t>
  </si>
  <si>
    <t>Jose Miguel Alvarez</t>
  </si>
  <si>
    <t>Backend</t>
  </si>
  <si>
    <t>Frontend</t>
  </si>
  <si>
    <t>Error en Modificar</t>
  </si>
  <si>
    <t>Validar backend</t>
  </si>
  <si>
    <t>Revision de Querys</t>
  </si>
  <si>
    <t>Reasignar fotos</t>
  </si>
  <si>
    <t>Estructura Organización MCV</t>
  </si>
  <si>
    <t>Implementar Color</t>
  </si>
  <si>
    <t>Modificar diseño pagina</t>
  </si>
  <si>
    <t>responsive validar estructura</t>
  </si>
  <si>
    <t>Actualizar Datos Est</t>
  </si>
  <si>
    <t>forms/ManageStudent.php</t>
  </si>
  <si>
    <t>Editar Datos Est</t>
  </si>
  <si>
    <t>Crear Datos Est</t>
  </si>
  <si>
    <t>Ruta Archivo</t>
  </si>
  <si>
    <t>EXPLICACION PROGRESO</t>
  </si>
  <si>
    <t>Elimina y actualiza correctamente</t>
  </si>
  <si>
    <t>views/AnnotationTrigger.php</t>
  </si>
  <si>
    <t>CRUD Estudiante</t>
  </si>
  <si>
    <t>CRUD Profesor</t>
  </si>
  <si>
    <t>Editar Datos Prof</t>
  </si>
  <si>
    <t>Actualizar Datos Prof</t>
  </si>
  <si>
    <t>Eliminar Datos Prof</t>
  </si>
  <si>
    <t>Crear Datos Prof</t>
  </si>
  <si>
    <t>Eliminar Datos Est</t>
  </si>
  <si>
    <t>Trigger Est</t>
  </si>
  <si>
    <t>Trigger Prof</t>
  </si>
  <si>
    <t>models\TeacherModel.php</t>
  </si>
  <si>
    <t>Todo se encuentra en Teacher Model</t>
  </si>
  <si>
    <t>Guardado de Imágenes Prof</t>
  </si>
  <si>
    <t>CRUD Anotaciones</t>
  </si>
  <si>
    <t>Es un Procedure</t>
  </si>
  <si>
    <t>NO IMPLEMENTADO</t>
  </si>
  <si>
    <t>Revision de Permisos</t>
  </si>
  <si>
    <t>config/ProtectPages.php</t>
  </si>
  <si>
    <t>Revision Paginas General</t>
  </si>
  <si>
    <t>templates/HomeHeader.php</t>
  </si>
  <si>
    <t>Permiso paginas de Header</t>
  </si>
  <si>
    <t>Profesor</t>
  </si>
  <si>
    <t>Dejar campos vacios Guardado</t>
  </si>
  <si>
    <t>CRUD Insert New User</t>
  </si>
  <si>
    <t>Obligatorio</t>
  </si>
  <si>
    <t>Se crea bien con los foreing keys</t>
  </si>
  <si>
    <t>Crear Anotacion</t>
  </si>
  <si>
    <t>Eliminar Anotacion</t>
  </si>
  <si>
    <t>Editar Anotacion</t>
  </si>
  <si>
    <t>models/AnnotationsModel.php</t>
  </si>
  <si>
    <t>Bien pero falta el Trigger</t>
  </si>
  <si>
    <t>Se crea bien y funciona 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</si>
</sst>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m/d/yy;@"/>
    <numFmt numFmtId="169" formatCode="d\-m\-yy;@"/>
    <numFmt numFmtId="170" formatCode="ddd\,\ dd/mm/yyyy"/>
    <numFmt numFmtId="171" formatCode="mmm\ &quot;de&quot;\ yyyy"/>
    <numFmt numFmtId="172" formatCode="d"/>
  </numFmts>
  <fonts count="31"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0"/>
      <name val="Calibri"/>
      <family val="2"/>
      <scheme val="minor"/>
    </font>
    <font>
      <b/>
      <sz val="14"/>
      <color theme="1"/>
      <name val="Calibri"/>
      <family val="2"/>
      <scheme val="minor"/>
    </font>
    <font>
      <u/>
      <sz val="11"/>
      <color theme="1"/>
      <name val="Calibri"/>
      <family val="2"/>
      <scheme val="minor"/>
    </font>
  </fonts>
  <fills count="46">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50"/>
        <bgColor indexed="64"/>
      </patternFill>
    </fill>
    <fill>
      <patternFill patternType="solid">
        <fgColor rgb="FF00B050"/>
        <bgColor theme="4"/>
      </patternFill>
    </fill>
    <fill>
      <patternFill patternType="solid">
        <fgColor theme="9" tint="0.79998168889431442"/>
        <bgColor indexed="64"/>
      </patternFill>
    </fill>
    <fill>
      <patternFill patternType="solid">
        <fgColor theme="9" tint="0.59999389629810485"/>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5">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5" fillId="0" borderId="0"/>
    <xf numFmtId="167"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70"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6" fillId="0" borderId="0" applyNumberFormat="0" applyFill="0" applyBorder="0" applyAlignment="0" applyProtection="0"/>
    <xf numFmtId="166" fontId="9" fillId="0" borderId="0" applyFont="0" applyFill="0" applyBorder="0" applyAlignment="0" applyProtection="0"/>
    <xf numFmtId="165" fontId="9" fillId="0" borderId="0" applyFont="0" applyFill="0" applyBorder="0" applyAlignment="0" applyProtection="0"/>
    <xf numFmtId="164" fontId="9" fillId="0" borderId="0" applyFont="0" applyFill="0" applyBorder="0" applyAlignment="0" applyProtection="0"/>
    <xf numFmtId="0" fontId="17" fillId="0" borderId="0" applyNumberFormat="0" applyFill="0" applyBorder="0" applyAlignment="0" applyProtection="0"/>
    <xf numFmtId="0" fontId="18" fillId="11" borderId="0" applyNumberFormat="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11" applyNumberFormat="0" applyAlignment="0" applyProtection="0"/>
    <xf numFmtId="0" fontId="22" fillId="15" borderId="12" applyNumberFormat="0" applyAlignment="0" applyProtection="0"/>
    <xf numFmtId="0" fontId="23" fillId="15" borderId="11" applyNumberFormat="0" applyAlignment="0" applyProtection="0"/>
    <xf numFmtId="0" fontId="24" fillId="0" borderId="13" applyNumberFormat="0" applyFill="0" applyAlignment="0" applyProtection="0"/>
    <xf numFmtId="0" fontId="25" fillId="16" borderId="14" applyNumberFormat="0" applyAlignment="0" applyProtection="0"/>
    <xf numFmtId="0" fontId="26" fillId="0" borderId="0" applyNumberFormat="0" applyFill="0" applyBorder="0" applyAlignment="0" applyProtection="0"/>
    <xf numFmtId="0" fontId="9" fillId="17" borderId="15" applyNumberFormat="0" applyFont="0" applyAlignment="0" applyProtection="0"/>
    <xf numFmtId="0" fontId="27" fillId="0" borderId="0" applyNumberFormat="0" applyFill="0" applyBorder="0" applyAlignment="0" applyProtection="0"/>
    <xf numFmtId="0" fontId="6" fillId="0" borderId="16" applyNumberFormat="0" applyFill="0" applyAlignment="0" applyProtection="0"/>
    <xf numFmtId="0" fontId="15"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15"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15"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15"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15"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9" fillId="37" borderId="0" applyNumberFormat="0" applyBorder="0" applyAlignment="0" applyProtection="0"/>
    <xf numFmtId="0" fontId="15"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9" fillId="41" borderId="0" applyNumberFormat="0" applyBorder="0" applyAlignment="0" applyProtection="0"/>
    <xf numFmtId="0" fontId="9" fillId="0" borderId="0"/>
  </cellStyleXfs>
  <cellXfs count="95">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13" fillId="0" borderId="0" xfId="0" applyFont="1"/>
    <xf numFmtId="0" fontId="14"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7" borderId="2" xfId="0" applyFont="1" applyFill="1" applyBorder="1" applyAlignment="1">
      <alignment horizontal="left" vertical="center" indent="1"/>
    </xf>
    <xf numFmtId="9" fontId="5" fillId="7"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0"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9"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3"/>
    <xf numFmtId="0" fontId="15" fillId="0" borderId="0" xfId="3" applyAlignment="1">
      <alignment wrapText="1"/>
    </xf>
    <xf numFmtId="0" fontId="15" fillId="0" borderId="0" xfId="0" applyFont="1" applyAlignment="1">
      <alignment horizontal="center"/>
    </xf>
    <xf numFmtId="0" fontId="14" fillId="0" borderId="0" xfId="1" applyFont="1" applyProtection="1">
      <alignment vertical="top"/>
    </xf>
    <xf numFmtId="0" fontId="0" fillId="0" borderId="0" xfId="0" applyAlignment="1">
      <alignment wrapText="1"/>
    </xf>
    <xf numFmtId="0" fontId="9" fillId="7" borderId="2" xfId="11" applyFill="1">
      <alignment horizontal="center" vertical="center"/>
    </xf>
    <xf numFmtId="0" fontId="9" fillId="3" borderId="2" xfId="11" applyFill="1">
      <alignment horizontal="center" vertical="center"/>
    </xf>
    <xf numFmtId="0" fontId="9" fillId="8"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0" borderId="2" xfId="11" applyFill="1">
      <alignment horizontal="center" vertical="center"/>
    </xf>
    <xf numFmtId="0" fontId="9" fillId="5" borderId="2" xfId="11" applyFill="1">
      <alignment horizontal="center" vertical="center"/>
    </xf>
    <xf numFmtId="0" fontId="9" fillId="9"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0" borderId="2" xfId="12" applyFill="1">
      <alignment horizontal="left" vertical="center" indent="2"/>
    </xf>
    <xf numFmtId="0" fontId="9" fillId="9" borderId="2" xfId="12" applyFill="1">
      <alignment horizontal="left" vertical="center" indent="2"/>
    </xf>
    <xf numFmtId="0" fontId="9" fillId="0" borderId="2" xfId="12">
      <alignment horizontal="left" vertical="center" indent="2"/>
    </xf>
    <xf numFmtId="169" fontId="0" fillId="7" borderId="2" xfId="0" applyNumberFormat="1" applyFill="1" applyBorder="1" applyAlignment="1">
      <alignment horizontal="center" vertical="center"/>
    </xf>
    <xf numFmtId="169" fontId="5" fillId="7" borderId="2" xfId="0" applyNumberFormat="1" applyFont="1" applyFill="1" applyBorder="1" applyAlignment="1">
      <alignment horizontal="center" vertical="center"/>
    </xf>
    <xf numFmtId="169" fontId="9" fillId="3" borderId="2" xfId="10" applyNumberFormat="1" applyFill="1">
      <alignment horizontal="center" vertical="center"/>
    </xf>
    <xf numFmtId="169" fontId="0" fillId="8" borderId="2" xfId="0" applyNumberFormat="1" applyFill="1" applyBorder="1" applyAlignment="1">
      <alignment horizontal="center" vertical="center"/>
    </xf>
    <xf numFmtId="169" fontId="5" fillId="8" borderId="2" xfId="0" applyNumberFormat="1" applyFont="1" applyFill="1" applyBorder="1" applyAlignment="1">
      <alignment horizontal="center" vertical="center"/>
    </xf>
    <xf numFmtId="169" fontId="9" fillId="4" borderId="2" xfId="10" applyNumberFormat="1" applyFill="1">
      <alignment horizontal="center" vertical="center"/>
    </xf>
    <xf numFmtId="169" fontId="0" fillId="6" borderId="2" xfId="0" applyNumberFormat="1" applyFill="1" applyBorder="1" applyAlignment="1">
      <alignment horizontal="center" vertical="center"/>
    </xf>
    <xf numFmtId="169" fontId="5" fillId="6" borderId="2" xfId="0" applyNumberFormat="1" applyFont="1" applyFill="1" applyBorder="1" applyAlignment="1">
      <alignment horizontal="center" vertical="center"/>
    </xf>
    <xf numFmtId="169" fontId="9" fillId="10" borderId="2" xfId="10" applyNumberFormat="1" applyFill="1">
      <alignment horizontal="center" vertical="center"/>
    </xf>
    <xf numFmtId="169" fontId="0" fillId="5" borderId="2" xfId="0" applyNumberFormat="1" applyFill="1" applyBorder="1" applyAlignment="1">
      <alignment horizontal="center" vertical="center"/>
    </xf>
    <xf numFmtId="169" fontId="5" fillId="5" borderId="2" xfId="0" applyNumberFormat="1" applyFont="1" applyFill="1" applyBorder="1" applyAlignment="1">
      <alignment horizontal="center" vertical="center"/>
    </xf>
    <xf numFmtId="169" fontId="9" fillId="9" borderId="2" xfId="10" applyNumberFormat="1" applyFill="1">
      <alignment horizontal="center" vertical="center"/>
    </xf>
    <xf numFmtId="169" fontId="9" fillId="0" borderId="2" xfId="10" applyNumberFormat="1">
      <alignment horizontal="center" vertical="center"/>
    </xf>
    <xf numFmtId="169" fontId="4" fillId="2" borderId="2" xfId="0" applyNumberFormat="1" applyFont="1" applyFill="1" applyBorder="1" applyAlignment="1">
      <alignment horizontal="left" vertical="center"/>
    </xf>
    <xf numFmtId="169" fontId="5" fillId="2" borderId="2" xfId="0" applyNumberFormat="1" applyFont="1" applyFill="1" applyBorder="1" applyAlignment="1">
      <alignment horizontal="center" vertical="center"/>
    </xf>
    <xf numFmtId="0" fontId="0" fillId="0" borderId="0" xfId="0" applyFill="1"/>
    <xf numFmtId="0" fontId="7" fillId="43" borderId="1" xfId="0" applyFont="1" applyFill="1" applyBorder="1" applyAlignment="1">
      <alignment horizontal="left" vertical="center" indent="1"/>
    </xf>
    <xf numFmtId="0" fontId="7" fillId="43" borderId="1" xfId="0" applyFont="1" applyFill="1" applyBorder="1" applyAlignment="1">
      <alignment horizontal="center" vertical="center" wrapText="1"/>
    </xf>
    <xf numFmtId="0" fontId="11" fillId="42" borderId="8" xfId="0" applyFont="1" applyFill="1" applyBorder="1" applyAlignment="1">
      <alignment horizontal="center" vertical="center" shrinkToFit="1"/>
    </xf>
    <xf numFmtId="172" fontId="28" fillId="42" borderId="6" xfId="0" applyNumberFormat="1" applyFont="1" applyFill="1" applyBorder="1" applyAlignment="1">
      <alignment horizontal="center" vertical="center"/>
    </xf>
    <xf numFmtId="172" fontId="28" fillId="42" borderId="0" xfId="0" applyNumberFormat="1" applyFont="1" applyFill="1" applyAlignment="1">
      <alignment horizontal="center" vertical="center"/>
    </xf>
    <xf numFmtId="172" fontId="28" fillId="42" borderId="7" xfId="0" applyNumberFormat="1" applyFont="1" applyFill="1" applyBorder="1" applyAlignment="1">
      <alignment horizontal="center" vertical="center"/>
    </xf>
    <xf numFmtId="0" fontId="30" fillId="0" borderId="9" xfId="0" applyFont="1" applyBorder="1" applyAlignment="1">
      <alignment vertical="center"/>
    </xf>
    <xf numFmtId="0" fontId="9" fillId="5" borderId="2" xfId="11" applyFill="1" applyAlignment="1">
      <alignment horizontal="left" vertical="center"/>
    </xf>
    <xf numFmtId="0" fontId="9" fillId="4" borderId="2" xfId="12" applyFont="1" applyFill="1">
      <alignment horizontal="left" vertical="center" indent="2"/>
    </xf>
    <xf numFmtId="0" fontId="9" fillId="44" borderId="2" xfId="12" applyFill="1">
      <alignment horizontal="left" vertical="center" indent="2"/>
    </xf>
    <xf numFmtId="0" fontId="9" fillId="44" borderId="2" xfId="11" applyFill="1">
      <alignment horizontal="center" vertical="center"/>
    </xf>
    <xf numFmtId="9" fontId="5" fillId="44" borderId="2" xfId="2" applyFont="1" applyFill="1" applyBorder="1" applyAlignment="1">
      <alignment horizontal="center" vertical="center"/>
    </xf>
    <xf numFmtId="169" fontId="9" fillId="44" borderId="2" xfId="10" applyNumberFormat="1" applyFill="1">
      <alignment horizontal="center" vertical="center"/>
    </xf>
    <xf numFmtId="0" fontId="6" fillId="45" borderId="2" xfId="0" applyFont="1" applyFill="1" applyBorder="1" applyAlignment="1">
      <alignment horizontal="left" vertical="center" indent="1"/>
    </xf>
    <xf numFmtId="0" fontId="9" fillId="45" borderId="2" xfId="11" applyFill="1">
      <alignment horizontal="center" vertical="center"/>
    </xf>
    <xf numFmtId="9" fontId="5" fillId="45" borderId="2" xfId="2" applyFont="1" applyFill="1" applyBorder="1" applyAlignment="1">
      <alignment horizontal="center" vertical="center"/>
    </xf>
    <xf numFmtId="169" fontId="0" fillId="45" borderId="2" xfId="0" applyNumberFormat="1" applyFill="1" applyBorder="1" applyAlignment="1">
      <alignment horizontal="center" vertical="center"/>
    </xf>
    <xf numFmtId="169" fontId="5" fillId="45" borderId="2" xfId="0" applyNumberFormat="1" applyFont="1" applyFill="1" applyBorder="1" applyAlignment="1">
      <alignment horizontal="center" vertical="center"/>
    </xf>
    <xf numFmtId="171" fontId="15" fillId="42" borderId="4" xfId="0" applyNumberFormat="1" applyFont="1" applyFill="1" applyBorder="1" applyAlignment="1">
      <alignment horizontal="left" vertical="center" wrapText="1" indent="1"/>
    </xf>
    <xf numFmtId="171" fontId="15" fillId="42" borderId="1" xfId="0" applyNumberFormat="1" applyFont="1" applyFill="1" applyBorder="1" applyAlignment="1">
      <alignment horizontal="left" vertical="center" wrapText="1" indent="1"/>
    </xf>
    <xf numFmtId="171" fontId="15" fillId="42" borderId="5" xfId="0" applyNumberFormat="1" applyFont="1" applyFill="1" applyBorder="1" applyAlignment="1">
      <alignment horizontal="left" vertical="center" wrapText="1" indent="1"/>
    </xf>
    <xf numFmtId="170" fontId="9" fillId="0" borderId="3" xfId="9" applyNumberFormat="1">
      <alignment horizontal="center" vertical="center"/>
    </xf>
    <xf numFmtId="0" fontId="9" fillId="0" borderId="0" xfId="8">
      <alignment horizontal="right" indent="1"/>
    </xf>
    <xf numFmtId="0" fontId="9" fillId="0" borderId="7" xfId="8" applyBorder="1">
      <alignment horizontal="right" indent="1"/>
    </xf>
    <xf numFmtId="0" fontId="0" fillId="0" borderId="10" xfId="0" applyBorder="1"/>
    <xf numFmtId="0" fontId="10" fillId="0" borderId="0" xfId="6" applyAlignment="1">
      <alignment horizontal="left" vertical="center"/>
    </xf>
    <xf numFmtId="0" fontId="10" fillId="0" borderId="0" xfId="7" applyAlignment="1">
      <alignment horizontal="left" vertical="center"/>
    </xf>
    <xf numFmtId="0" fontId="12" fillId="0" borderId="0" xfId="5" applyFont="1" applyAlignment="1">
      <alignment horizontal="left" vertical="center"/>
    </xf>
  </cellXfs>
  <cellStyles count="55">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00000000-0005-0000-0000-00001E000000}"/>
    <cellStyle name="Hipervínculo" xfId="1" builtinId="8" customBuiltin="1"/>
    <cellStyle name="Hipervínculo visitado" xfId="13" builtinId="9" customBuiltin="1"/>
    <cellStyle name="Incorrecto" xfId="19" builtinId="27" customBuiltin="1"/>
    <cellStyle name="Inicio del proyecto" xfId="9" xr:uid="{00000000-0005-0000-0000-000022000000}"/>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00000000-0005-0000-0000-000028000000}"/>
    <cellStyle name="Normal" xfId="0" builtinId="0" customBuiltin="1"/>
    <cellStyle name="Normal 2 2 2" xfId="54" xr:uid="{00000000-0005-0000-0000-00002A000000}"/>
    <cellStyle name="Notas" xfId="27" builtinId="10" customBuiltin="1"/>
    <cellStyle name="Porcentaje" xfId="2" builtinId="5" customBuiltin="1"/>
    <cellStyle name="Salida" xfId="22" builtinId="21" customBuiltin="1"/>
    <cellStyle name="Tarea" xfId="12" xr:uid="{00000000-0005-0000-0000-00002E000000}"/>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00000000-0005-0000-0000-000036000000}"/>
  </cellStyles>
  <dxfs count="12">
    <dxf>
      <fill>
        <patternFill>
          <bgColor rgb="FF00B0F0"/>
        </patternFill>
      </fill>
      <border>
        <left/>
        <right/>
      </border>
    </dxf>
    <dxf>
      <fill>
        <patternFill>
          <bgColor rgb="FF00B050"/>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G:\imagenes\plantillas\Libro-diario-excel.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Aneudy/Pictures/plantillas/Hoja%20de%20balance.xlsx"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Disclaimer-Smartsheet-Templates_Solution1-Tab5"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ARIO"/>
      <sheetName val="MAYOR"/>
      <sheetName val="BALANCE"/>
      <sheetName val="RESULTADO"/>
    </sheetNames>
    <sheetDataSet>
      <sheetData sheetId="0">
        <row r="12">
          <cell r="C12" t="str">
            <v>1.1.1.01</v>
          </cell>
          <cell r="F12">
            <v>5000</v>
          </cell>
        </row>
        <row r="13">
          <cell r="C13" t="str">
            <v>4.1.1.01</v>
          </cell>
          <cell r="G13">
            <v>5000</v>
          </cell>
        </row>
        <row r="14">
          <cell r="C14" t="str">
            <v>5.1.1.1</v>
          </cell>
          <cell r="F14">
            <v>4000</v>
          </cell>
        </row>
        <row r="15">
          <cell r="C15" t="str">
            <v>1.1.4.01</v>
          </cell>
          <cell r="G15">
            <v>4000</v>
          </cell>
        </row>
      </sheetData>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ANCE"/>
      <sheetName val="DESCARGA DE RESPONSABILIDAD"/>
    </sheetNames>
    <sheetDataSet>
      <sheetData sheetId="0"/>
      <sheetData sheetId="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tenance Work Order"/>
      <sheetName val="BLANK - Maintenance Work Order "/>
      <sheetName val="- Disclaimer -"/>
    </sheetNames>
    <sheetDataSet>
      <sheetData sheetId="0"/>
      <sheetData sheetId="1" refreshError="1"/>
      <sheetData sheetId="2"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M45"/>
  <sheetViews>
    <sheetView showGridLines="0" tabSelected="1" showRuler="0" topLeftCell="A14" zoomScale="115" zoomScaleNormal="115" zoomScalePageLayoutView="70" workbookViewId="0">
      <selection activeCell="F23" sqref="F23"/>
    </sheetView>
  </sheetViews>
  <sheetFormatPr baseColWidth="10" defaultColWidth="9.140625" defaultRowHeight="30" customHeight="1" x14ac:dyDescent="0.25"/>
  <cols>
    <col min="1" max="1" width="2.7109375" style="32" customWidth="1"/>
    <col min="2" max="2" width="30.5703125" customWidth="1"/>
    <col min="3" max="3" width="34.5703125" customWidth="1"/>
    <col min="4" max="4" width="28" customWidth="1"/>
    <col min="5" max="5" width="13" customWidth="1"/>
    <col min="6" max="6" width="10.42578125" style="5" customWidth="1"/>
    <col min="7" max="7" width="10.42578125" customWidth="1"/>
    <col min="8" max="8" width="2.7109375" customWidth="1"/>
    <col min="9" max="9" width="6.140625" hidden="1" customWidth="1"/>
    <col min="10" max="26" width="2.5703125" customWidth="1"/>
    <col min="27" max="27" width="3" customWidth="1"/>
    <col min="28" max="65" width="2.5703125" customWidth="1"/>
    <col min="70" max="71" width="10.28515625"/>
  </cols>
  <sheetData>
    <row r="1" spans="1:65" ht="30" customHeight="1" x14ac:dyDescent="0.4">
      <c r="A1" s="33" t="s">
        <v>0</v>
      </c>
      <c r="B1" s="94" t="s">
        <v>25</v>
      </c>
      <c r="C1" s="1"/>
      <c r="D1" s="1"/>
      <c r="E1" s="2"/>
      <c r="F1" s="4"/>
      <c r="G1" s="31"/>
      <c r="I1" s="2"/>
      <c r="J1" s="66" t="s">
        <v>24</v>
      </c>
    </row>
    <row r="2" spans="1:65" ht="30" customHeight="1" x14ac:dyDescent="0.25">
      <c r="A2" s="32" t="s">
        <v>1</v>
      </c>
      <c r="B2" s="92" t="s">
        <v>14</v>
      </c>
      <c r="J2" s="35"/>
    </row>
    <row r="3" spans="1:65" ht="30" customHeight="1" x14ac:dyDescent="0.25">
      <c r="A3" s="32" t="s">
        <v>2</v>
      </c>
      <c r="B3" s="93" t="s">
        <v>26</v>
      </c>
      <c r="C3" s="89" t="s">
        <v>18</v>
      </c>
      <c r="D3" s="89"/>
      <c r="E3" s="90"/>
      <c r="F3" s="88">
        <v>45822</v>
      </c>
      <c r="G3" s="88"/>
    </row>
    <row r="4" spans="1:65" ht="30" customHeight="1" x14ac:dyDescent="0.25">
      <c r="A4" s="33" t="s">
        <v>3</v>
      </c>
      <c r="C4" s="89" t="s">
        <v>19</v>
      </c>
      <c r="D4" s="89"/>
      <c r="E4" s="90"/>
      <c r="F4" s="7">
        <v>1</v>
      </c>
      <c r="J4" s="85">
        <f>J5</f>
        <v>45817</v>
      </c>
      <c r="K4" s="86"/>
      <c r="L4" s="86"/>
      <c r="M4" s="86"/>
      <c r="N4" s="86"/>
      <c r="O4" s="86"/>
      <c r="P4" s="87"/>
      <c r="Q4" s="85">
        <f>Q5</f>
        <v>45824</v>
      </c>
      <c r="R4" s="86"/>
      <c r="S4" s="86"/>
      <c r="T4" s="86"/>
      <c r="U4" s="86"/>
      <c r="V4" s="86"/>
      <c r="W4" s="87"/>
      <c r="X4" s="85">
        <f>X5</f>
        <v>45831</v>
      </c>
      <c r="Y4" s="86"/>
      <c r="Z4" s="86"/>
      <c r="AA4" s="86"/>
      <c r="AB4" s="86"/>
      <c r="AC4" s="86"/>
      <c r="AD4" s="87"/>
      <c r="AE4" s="85">
        <f>AE5</f>
        <v>45838</v>
      </c>
      <c r="AF4" s="86"/>
      <c r="AG4" s="86"/>
      <c r="AH4" s="86"/>
      <c r="AI4" s="86"/>
      <c r="AJ4" s="86"/>
      <c r="AK4" s="87"/>
      <c r="AL4" s="85">
        <f>AL5</f>
        <v>45845</v>
      </c>
      <c r="AM4" s="86"/>
      <c r="AN4" s="86"/>
      <c r="AO4" s="86"/>
      <c r="AP4" s="86"/>
      <c r="AQ4" s="86"/>
      <c r="AR4" s="87"/>
      <c r="AS4" s="85">
        <f>AS5</f>
        <v>45852</v>
      </c>
      <c r="AT4" s="86"/>
      <c r="AU4" s="86"/>
      <c r="AV4" s="86"/>
      <c r="AW4" s="86"/>
      <c r="AX4" s="86"/>
      <c r="AY4" s="87"/>
      <c r="AZ4" s="85">
        <f>AZ5</f>
        <v>45859</v>
      </c>
      <c r="BA4" s="86"/>
      <c r="BB4" s="86"/>
      <c r="BC4" s="86"/>
      <c r="BD4" s="86"/>
      <c r="BE4" s="86"/>
      <c r="BF4" s="87"/>
      <c r="BG4" s="85">
        <f>BG5</f>
        <v>45866</v>
      </c>
      <c r="BH4" s="86"/>
      <c r="BI4" s="86"/>
      <c r="BJ4" s="86"/>
      <c r="BK4" s="86"/>
      <c r="BL4" s="86"/>
      <c r="BM4" s="87"/>
    </row>
    <row r="5" spans="1:65" ht="15" customHeight="1" x14ac:dyDescent="0.25">
      <c r="A5" s="33" t="s">
        <v>4</v>
      </c>
      <c r="B5" s="91"/>
      <c r="C5" s="91"/>
      <c r="D5" s="91"/>
      <c r="E5" s="91"/>
      <c r="F5" s="91"/>
      <c r="G5" s="91"/>
      <c r="H5" s="91"/>
      <c r="J5" s="70">
        <f>InicioDelProyecto-WEEKDAY(InicioDelProyecto,1)+2+7*(SemanaParaMostrar-1)</f>
        <v>45817</v>
      </c>
      <c r="K5" s="71">
        <f>J5+1</f>
        <v>45818</v>
      </c>
      <c r="L5" s="71">
        <f t="shared" ref="L5:AY5" si="0">K5+1</f>
        <v>45819</v>
      </c>
      <c r="M5" s="71">
        <f t="shared" si="0"/>
        <v>45820</v>
      </c>
      <c r="N5" s="71">
        <f t="shared" si="0"/>
        <v>45821</v>
      </c>
      <c r="O5" s="71">
        <f t="shared" si="0"/>
        <v>45822</v>
      </c>
      <c r="P5" s="72">
        <f t="shared" si="0"/>
        <v>45823</v>
      </c>
      <c r="Q5" s="70">
        <f>P5+1</f>
        <v>45824</v>
      </c>
      <c r="R5" s="71">
        <f>Q5+1</f>
        <v>45825</v>
      </c>
      <c r="S5" s="71">
        <f t="shared" si="0"/>
        <v>45826</v>
      </c>
      <c r="T5" s="71">
        <f t="shared" si="0"/>
        <v>45827</v>
      </c>
      <c r="U5" s="71">
        <f t="shared" si="0"/>
        <v>45828</v>
      </c>
      <c r="V5" s="71">
        <f t="shared" si="0"/>
        <v>45829</v>
      </c>
      <c r="W5" s="72">
        <f t="shared" si="0"/>
        <v>45830</v>
      </c>
      <c r="X5" s="70">
        <f>W5+1</f>
        <v>45831</v>
      </c>
      <c r="Y5" s="71">
        <f>X5+1</f>
        <v>45832</v>
      </c>
      <c r="Z5" s="71">
        <f t="shared" si="0"/>
        <v>45833</v>
      </c>
      <c r="AA5" s="71">
        <f t="shared" si="0"/>
        <v>45834</v>
      </c>
      <c r="AB5" s="71">
        <f t="shared" si="0"/>
        <v>45835</v>
      </c>
      <c r="AC5" s="71">
        <f t="shared" si="0"/>
        <v>45836</v>
      </c>
      <c r="AD5" s="72">
        <f t="shared" si="0"/>
        <v>45837</v>
      </c>
      <c r="AE5" s="70">
        <f>AD5+1</f>
        <v>45838</v>
      </c>
      <c r="AF5" s="71">
        <f>AE5+1</f>
        <v>45839</v>
      </c>
      <c r="AG5" s="71">
        <f t="shared" si="0"/>
        <v>45840</v>
      </c>
      <c r="AH5" s="71">
        <f t="shared" si="0"/>
        <v>45841</v>
      </c>
      <c r="AI5" s="71">
        <f t="shared" si="0"/>
        <v>45842</v>
      </c>
      <c r="AJ5" s="71">
        <f t="shared" si="0"/>
        <v>45843</v>
      </c>
      <c r="AK5" s="72">
        <f t="shared" si="0"/>
        <v>45844</v>
      </c>
      <c r="AL5" s="70">
        <f>AK5+1</f>
        <v>45845</v>
      </c>
      <c r="AM5" s="71">
        <f>AL5+1</f>
        <v>45846</v>
      </c>
      <c r="AN5" s="71">
        <f t="shared" si="0"/>
        <v>45847</v>
      </c>
      <c r="AO5" s="71">
        <f t="shared" si="0"/>
        <v>45848</v>
      </c>
      <c r="AP5" s="71">
        <f t="shared" si="0"/>
        <v>45849</v>
      </c>
      <c r="AQ5" s="71">
        <f t="shared" si="0"/>
        <v>45850</v>
      </c>
      <c r="AR5" s="72">
        <f t="shared" si="0"/>
        <v>45851</v>
      </c>
      <c r="AS5" s="70">
        <f>AR5+1</f>
        <v>45852</v>
      </c>
      <c r="AT5" s="71">
        <f>AS5+1</f>
        <v>45853</v>
      </c>
      <c r="AU5" s="71">
        <f t="shared" si="0"/>
        <v>45854</v>
      </c>
      <c r="AV5" s="71">
        <f t="shared" si="0"/>
        <v>45855</v>
      </c>
      <c r="AW5" s="71">
        <f t="shared" si="0"/>
        <v>45856</v>
      </c>
      <c r="AX5" s="71">
        <f t="shared" si="0"/>
        <v>45857</v>
      </c>
      <c r="AY5" s="72">
        <f t="shared" si="0"/>
        <v>45858</v>
      </c>
      <c r="AZ5" s="70">
        <f>AY5+1</f>
        <v>45859</v>
      </c>
      <c r="BA5" s="71">
        <f>AZ5+1</f>
        <v>45860</v>
      </c>
      <c r="BB5" s="71">
        <f t="shared" ref="BB5:BF5" si="1">BA5+1</f>
        <v>45861</v>
      </c>
      <c r="BC5" s="71">
        <f t="shared" si="1"/>
        <v>45862</v>
      </c>
      <c r="BD5" s="71">
        <f t="shared" si="1"/>
        <v>45863</v>
      </c>
      <c r="BE5" s="71">
        <f t="shared" si="1"/>
        <v>45864</v>
      </c>
      <c r="BF5" s="72">
        <f t="shared" si="1"/>
        <v>45865</v>
      </c>
      <c r="BG5" s="70">
        <f>BF5+1</f>
        <v>45866</v>
      </c>
      <c r="BH5" s="71">
        <f>BG5+1</f>
        <v>45867</v>
      </c>
      <c r="BI5" s="71">
        <f t="shared" ref="BI5:BM5" si="2">BH5+1</f>
        <v>45868</v>
      </c>
      <c r="BJ5" s="71">
        <f t="shared" si="2"/>
        <v>45869</v>
      </c>
      <c r="BK5" s="71">
        <f t="shared" si="2"/>
        <v>45870</v>
      </c>
      <c r="BL5" s="71">
        <f t="shared" si="2"/>
        <v>45871</v>
      </c>
      <c r="BM5" s="72">
        <f t="shared" si="2"/>
        <v>45872</v>
      </c>
    </row>
    <row r="6" spans="1:65" ht="30" customHeight="1" thickBot="1" x14ac:dyDescent="0.3">
      <c r="A6" s="33" t="s">
        <v>5</v>
      </c>
      <c r="B6" s="67" t="s">
        <v>15</v>
      </c>
      <c r="C6" s="68" t="s">
        <v>42</v>
      </c>
      <c r="D6" s="68" t="s">
        <v>43</v>
      </c>
      <c r="E6" s="68" t="s">
        <v>20</v>
      </c>
      <c r="F6" s="68" t="s">
        <v>21</v>
      </c>
      <c r="G6" s="68" t="s">
        <v>22</v>
      </c>
      <c r="H6" s="68"/>
      <c r="I6" s="68" t="s">
        <v>23</v>
      </c>
      <c r="J6" s="69" t="str">
        <f t="shared" ref="J6" si="3">LEFT(TEXT(J5,"ddd"),1)</f>
        <v>l</v>
      </c>
      <c r="K6" s="69" t="str">
        <f t="shared" ref="K6:AS6" si="4">LEFT(TEXT(K5,"ddd"),1)</f>
        <v>m</v>
      </c>
      <c r="L6" s="69" t="str">
        <f t="shared" si="4"/>
        <v>m</v>
      </c>
      <c r="M6" s="69" t="str">
        <f t="shared" si="4"/>
        <v>j</v>
      </c>
      <c r="N6" s="69" t="str">
        <f t="shared" si="4"/>
        <v>v</v>
      </c>
      <c r="O6" s="69" t="str">
        <f t="shared" si="4"/>
        <v>s</v>
      </c>
      <c r="P6" s="69" t="str">
        <f t="shared" si="4"/>
        <v>d</v>
      </c>
      <c r="Q6" s="69" t="str">
        <f t="shared" si="4"/>
        <v>l</v>
      </c>
      <c r="R6" s="69" t="str">
        <f t="shared" si="4"/>
        <v>m</v>
      </c>
      <c r="S6" s="69" t="str">
        <f t="shared" si="4"/>
        <v>m</v>
      </c>
      <c r="T6" s="69" t="str">
        <f t="shared" si="4"/>
        <v>j</v>
      </c>
      <c r="U6" s="69" t="str">
        <f t="shared" si="4"/>
        <v>v</v>
      </c>
      <c r="V6" s="69" t="str">
        <f t="shared" si="4"/>
        <v>s</v>
      </c>
      <c r="W6" s="69" t="str">
        <f t="shared" si="4"/>
        <v>d</v>
      </c>
      <c r="X6" s="69" t="str">
        <f t="shared" si="4"/>
        <v>l</v>
      </c>
      <c r="Y6" s="69" t="str">
        <f t="shared" si="4"/>
        <v>m</v>
      </c>
      <c r="Z6" s="69" t="str">
        <f t="shared" si="4"/>
        <v>m</v>
      </c>
      <c r="AA6" s="69" t="str">
        <f t="shared" si="4"/>
        <v>j</v>
      </c>
      <c r="AB6" s="69" t="str">
        <f t="shared" si="4"/>
        <v>v</v>
      </c>
      <c r="AC6" s="69" t="str">
        <f t="shared" si="4"/>
        <v>s</v>
      </c>
      <c r="AD6" s="69" t="str">
        <f t="shared" si="4"/>
        <v>d</v>
      </c>
      <c r="AE6" s="69" t="str">
        <f t="shared" si="4"/>
        <v>l</v>
      </c>
      <c r="AF6" s="69" t="str">
        <f t="shared" si="4"/>
        <v>m</v>
      </c>
      <c r="AG6" s="69" t="str">
        <f t="shared" si="4"/>
        <v>m</v>
      </c>
      <c r="AH6" s="69" t="str">
        <f t="shared" si="4"/>
        <v>j</v>
      </c>
      <c r="AI6" s="69" t="str">
        <f t="shared" si="4"/>
        <v>v</v>
      </c>
      <c r="AJ6" s="69" t="str">
        <f t="shared" si="4"/>
        <v>s</v>
      </c>
      <c r="AK6" s="69" t="str">
        <f t="shared" si="4"/>
        <v>d</v>
      </c>
      <c r="AL6" s="69" t="str">
        <f t="shared" si="4"/>
        <v>l</v>
      </c>
      <c r="AM6" s="69" t="str">
        <f t="shared" si="4"/>
        <v>m</v>
      </c>
      <c r="AN6" s="69" t="str">
        <f t="shared" si="4"/>
        <v>m</v>
      </c>
      <c r="AO6" s="69" t="str">
        <f t="shared" si="4"/>
        <v>j</v>
      </c>
      <c r="AP6" s="69" t="str">
        <f t="shared" si="4"/>
        <v>v</v>
      </c>
      <c r="AQ6" s="69" t="str">
        <f t="shared" si="4"/>
        <v>s</v>
      </c>
      <c r="AR6" s="69" t="str">
        <f t="shared" si="4"/>
        <v>d</v>
      </c>
      <c r="AS6" s="69" t="str">
        <f t="shared" si="4"/>
        <v>l</v>
      </c>
      <c r="AT6" s="69" t="str">
        <f t="shared" ref="AT6:BM6" si="5">LEFT(TEXT(AT5,"ddd"),1)</f>
        <v>m</v>
      </c>
      <c r="AU6" s="69" t="str">
        <f t="shared" si="5"/>
        <v>m</v>
      </c>
      <c r="AV6" s="69" t="str">
        <f t="shared" si="5"/>
        <v>j</v>
      </c>
      <c r="AW6" s="69" t="str">
        <f t="shared" si="5"/>
        <v>v</v>
      </c>
      <c r="AX6" s="69" t="str">
        <f t="shared" si="5"/>
        <v>s</v>
      </c>
      <c r="AY6" s="69" t="str">
        <f t="shared" si="5"/>
        <v>d</v>
      </c>
      <c r="AZ6" s="69" t="str">
        <f t="shared" si="5"/>
        <v>l</v>
      </c>
      <c r="BA6" s="69" t="str">
        <f t="shared" si="5"/>
        <v>m</v>
      </c>
      <c r="BB6" s="69" t="str">
        <f t="shared" si="5"/>
        <v>m</v>
      </c>
      <c r="BC6" s="69" t="str">
        <f t="shared" si="5"/>
        <v>j</v>
      </c>
      <c r="BD6" s="69" t="str">
        <f t="shared" si="5"/>
        <v>v</v>
      </c>
      <c r="BE6" s="69" t="str">
        <f t="shared" si="5"/>
        <v>s</v>
      </c>
      <c r="BF6" s="69" t="str">
        <f t="shared" si="5"/>
        <v>d</v>
      </c>
      <c r="BG6" s="69" t="str">
        <f t="shared" si="5"/>
        <v>l</v>
      </c>
      <c r="BH6" s="69" t="str">
        <f t="shared" si="5"/>
        <v>m</v>
      </c>
      <c r="BI6" s="69" t="str">
        <f t="shared" si="5"/>
        <v>m</v>
      </c>
      <c r="BJ6" s="69" t="str">
        <f t="shared" si="5"/>
        <v>j</v>
      </c>
      <c r="BK6" s="69" t="str">
        <f t="shared" si="5"/>
        <v>v</v>
      </c>
      <c r="BL6" s="69" t="str">
        <f t="shared" si="5"/>
        <v>s</v>
      </c>
      <c r="BM6" s="69" t="str">
        <f t="shared" si="5"/>
        <v>d</v>
      </c>
    </row>
    <row r="7" spans="1:65" ht="15.75" hidden="1" customHeight="1" thickBot="1" x14ac:dyDescent="0.3">
      <c r="A7" s="32" t="s">
        <v>6</v>
      </c>
      <c r="C7" s="36"/>
      <c r="D7" s="36"/>
      <c r="F7"/>
      <c r="I7" t="str">
        <f>IF(OR(ISBLANK(Fecha_incio),ISBLANK(Fecha_final)),"",Fecha_final-Fecha_incio+1)</f>
        <v/>
      </c>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row>
    <row r="8" spans="1:65" s="3" customFormat="1" ht="30" customHeight="1" thickBot="1" x14ac:dyDescent="0.3">
      <c r="A8" s="33" t="s">
        <v>10</v>
      </c>
      <c r="B8" s="15" t="s">
        <v>29</v>
      </c>
      <c r="C8" s="39"/>
      <c r="D8" s="39"/>
      <c r="E8" s="16"/>
      <c r="F8" s="54"/>
      <c r="G8" s="55"/>
      <c r="H8" s="11"/>
      <c r="I8" s="11" t="str">
        <f t="shared" ref="I8:I42" si="6">IF(OR(ISBLANK(Fecha_incio),ISBLANK(Fecha_final)),"",Fecha_final-Fecha_incio+1)</f>
        <v/>
      </c>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row>
    <row r="9" spans="1:65" s="3" customFormat="1" ht="30" customHeight="1" thickBot="1" x14ac:dyDescent="0.3">
      <c r="A9" s="33"/>
      <c r="B9" s="47" t="s">
        <v>33</v>
      </c>
      <c r="C9" s="40" t="s">
        <v>27</v>
      </c>
      <c r="D9" s="40"/>
      <c r="E9" s="17">
        <v>0</v>
      </c>
      <c r="F9" s="56">
        <f>F23+1</f>
        <v>45830</v>
      </c>
      <c r="G9" s="56">
        <f>F9+4</f>
        <v>45834</v>
      </c>
      <c r="H9" s="11"/>
      <c r="I9" s="11">
        <f t="shared" si="6"/>
        <v>5</v>
      </c>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row>
    <row r="10" spans="1:65" s="3" customFormat="1" ht="30" customHeight="1" thickBot="1" x14ac:dyDescent="0.3">
      <c r="A10" s="32"/>
      <c r="B10" s="47" t="s">
        <v>35</v>
      </c>
      <c r="C10" s="40" t="s">
        <v>27</v>
      </c>
      <c r="D10" s="40"/>
      <c r="E10" s="17">
        <v>0</v>
      </c>
      <c r="F10" s="56">
        <f>F9+2</f>
        <v>45832</v>
      </c>
      <c r="G10" s="56">
        <f>F10+5</f>
        <v>45837</v>
      </c>
      <c r="H10" s="11"/>
      <c r="I10" s="11">
        <f t="shared" si="6"/>
        <v>6</v>
      </c>
      <c r="J10" s="28"/>
      <c r="K10" s="28"/>
      <c r="L10" s="28"/>
      <c r="M10" s="28"/>
      <c r="N10" s="28"/>
      <c r="O10" s="28"/>
      <c r="P10" s="28"/>
      <c r="Q10" s="28"/>
      <c r="R10" s="28"/>
      <c r="S10" s="28"/>
      <c r="T10" s="28"/>
      <c r="U10" s="28"/>
      <c r="V10" s="29"/>
      <c r="W10" s="29"/>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row>
    <row r="11" spans="1:65" s="3" customFormat="1" ht="30" customHeight="1" thickBot="1" x14ac:dyDescent="0.3">
      <c r="A11" s="32"/>
      <c r="B11" s="47" t="s">
        <v>36</v>
      </c>
      <c r="C11" s="40" t="s">
        <v>27</v>
      </c>
      <c r="D11" s="40"/>
      <c r="E11" s="17">
        <v>0</v>
      </c>
      <c r="F11" s="56">
        <f>G10</f>
        <v>45837</v>
      </c>
      <c r="G11" s="56">
        <f>F11+3</f>
        <v>45840</v>
      </c>
      <c r="H11" s="11"/>
      <c r="I11" s="11">
        <f t="shared" si="6"/>
        <v>4</v>
      </c>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row>
    <row r="12" spans="1:65" s="3" customFormat="1" ht="30" customHeight="1" thickBot="1" x14ac:dyDescent="0.3">
      <c r="A12" s="32"/>
      <c r="B12" s="47" t="s">
        <v>37</v>
      </c>
      <c r="C12" s="40" t="s">
        <v>27</v>
      </c>
      <c r="D12" s="40"/>
      <c r="E12" s="17">
        <v>0</v>
      </c>
      <c r="F12" s="56">
        <f>F11</f>
        <v>45837</v>
      </c>
      <c r="G12" s="56">
        <f>F12+2</f>
        <v>45839</v>
      </c>
      <c r="H12" s="11"/>
      <c r="I12" s="11">
        <f t="shared" si="6"/>
        <v>3</v>
      </c>
      <c r="J12" s="28"/>
      <c r="K12" s="28"/>
      <c r="L12" s="28"/>
      <c r="M12" s="28"/>
      <c r="N12" s="28"/>
      <c r="O12" s="28"/>
      <c r="P12" s="28"/>
      <c r="Q12" s="28"/>
      <c r="R12" s="28"/>
      <c r="S12" s="28"/>
      <c r="T12" s="28"/>
      <c r="U12" s="28"/>
      <c r="V12" s="28"/>
      <c r="W12" s="28"/>
      <c r="X12" s="28"/>
      <c r="Y12" s="28"/>
      <c r="Z12" s="29"/>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row>
    <row r="13" spans="1:65" s="3" customFormat="1" ht="30" customHeight="1" thickBot="1" x14ac:dyDescent="0.3">
      <c r="A13" s="32"/>
      <c r="B13" s="75" t="s">
        <v>16</v>
      </c>
      <c r="C13" s="40" t="s">
        <v>27</v>
      </c>
      <c r="D13" s="40"/>
      <c r="E13" s="17">
        <v>0</v>
      </c>
      <c r="F13" s="56">
        <f>F12</f>
        <v>45837</v>
      </c>
      <c r="G13" s="56">
        <f>F13+3</f>
        <v>45840</v>
      </c>
      <c r="H13" s="11"/>
      <c r="I13" s="11">
        <f t="shared" si="6"/>
        <v>4</v>
      </c>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row>
    <row r="14" spans="1:65" s="3" customFormat="1" ht="30" customHeight="1" thickBot="1" x14ac:dyDescent="0.3">
      <c r="A14" s="33" t="s">
        <v>7</v>
      </c>
      <c r="B14" s="12" t="s">
        <v>28</v>
      </c>
      <c r="C14" s="37"/>
      <c r="D14" s="37"/>
      <c r="E14" s="13"/>
      <c r="F14" s="51"/>
      <c r="G14" s="52"/>
      <c r="H14" s="11"/>
      <c r="I14" s="11" t="str">
        <f t="shared" si="6"/>
        <v/>
      </c>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row>
    <row r="15" spans="1:65" s="3" customFormat="1" ht="30" customHeight="1" thickBot="1" x14ac:dyDescent="0.3">
      <c r="A15" s="33" t="s">
        <v>8</v>
      </c>
      <c r="B15" s="46" t="s">
        <v>63</v>
      </c>
      <c r="C15" s="38" t="s">
        <v>27</v>
      </c>
      <c r="D15" s="38"/>
      <c r="E15" s="14">
        <v>0.5</v>
      </c>
      <c r="F15" s="53">
        <f>InicioDelProyecto</f>
        <v>45822</v>
      </c>
      <c r="G15" s="53">
        <f>F15+6</f>
        <v>45828</v>
      </c>
      <c r="H15" s="11"/>
      <c r="I15" s="11">
        <f t="shared" si="6"/>
        <v>7</v>
      </c>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row>
    <row r="16" spans="1:65" s="3" customFormat="1" ht="30" customHeight="1" thickBot="1" x14ac:dyDescent="0.3">
      <c r="A16" s="33"/>
      <c r="B16" s="46" t="s">
        <v>67</v>
      </c>
      <c r="C16" s="38" t="s">
        <v>68</v>
      </c>
      <c r="D16" s="38" t="s">
        <v>69</v>
      </c>
      <c r="E16" s="14">
        <v>0</v>
      </c>
      <c r="F16" s="53">
        <v>45851</v>
      </c>
      <c r="G16" s="53">
        <f>F16+6</f>
        <v>45857</v>
      </c>
      <c r="H16" s="11"/>
      <c r="I16" s="11"/>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row>
    <row r="17" spans="1:65" s="3" customFormat="1" ht="30" customHeight="1" thickBot="1" x14ac:dyDescent="0.3">
      <c r="A17" s="33"/>
      <c r="B17" s="46" t="s">
        <v>65</v>
      </c>
      <c r="C17" s="38" t="s">
        <v>64</v>
      </c>
      <c r="D17" s="38" t="s">
        <v>66</v>
      </c>
      <c r="E17" s="14">
        <v>0.2</v>
      </c>
      <c r="F17" s="53">
        <v>45837</v>
      </c>
      <c r="G17" s="53"/>
      <c r="H17" s="11"/>
      <c r="I17" s="11"/>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row>
    <row r="18" spans="1:65" s="3" customFormat="1" ht="30" customHeight="1" thickBot="1" x14ac:dyDescent="0.3">
      <c r="A18" s="33"/>
      <c r="B18" s="46" t="s">
        <v>61</v>
      </c>
      <c r="C18" s="38" t="s">
        <v>62</v>
      </c>
      <c r="D18" s="38"/>
      <c r="E18" s="14">
        <v>1</v>
      </c>
      <c r="F18" s="53">
        <v>45837</v>
      </c>
      <c r="G18" s="53">
        <v>45837</v>
      </c>
      <c r="H18" s="11"/>
      <c r="I18" s="11"/>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row>
    <row r="19" spans="1:65" s="3" customFormat="1" ht="30" customHeight="1" thickBot="1" x14ac:dyDescent="0.3">
      <c r="A19" s="33" t="s">
        <v>9</v>
      </c>
      <c r="B19" s="46" t="s">
        <v>30</v>
      </c>
      <c r="C19" s="38" t="s">
        <v>27</v>
      </c>
      <c r="D19" s="38"/>
      <c r="E19" s="14">
        <v>0</v>
      </c>
      <c r="F19" s="53">
        <f>G15</f>
        <v>45828</v>
      </c>
      <c r="G19" s="53">
        <f>F19+2</f>
        <v>45830</v>
      </c>
      <c r="H19" s="11"/>
      <c r="I19" s="11">
        <f t="shared" si="6"/>
        <v>3</v>
      </c>
      <c r="J19" s="28"/>
      <c r="K19" s="28"/>
      <c r="L19" s="28"/>
      <c r="M19" s="28"/>
      <c r="N19" s="28"/>
      <c r="O19" s="28"/>
      <c r="P19" s="28"/>
      <c r="Q19" s="28"/>
      <c r="R19" s="28"/>
      <c r="S19" s="28"/>
      <c r="T19" s="28"/>
      <c r="U19" s="28"/>
      <c r="V19" s="29"/>
      <c r="W19" s="29"/>
      <c r="X19" s="28"/>
      <c r="Y19" s="28"/>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row>
    <row r="20" spans="1:65" s="3" customFormat="1" ht="30" customHeight="1" thickBot="1" x14ac:dyDescent="0.3">
      <c r="A20" s="32"/>
      <c r="B20" s="46" t="s">
        <v>31</v>
      </c>
      <c r="C20" s="38" t="s">
        <v>27</v>
      </c>
      <c r="D20" s="38"/>
      <c r="E20" s="14">
        <v>0</v>
      </c>
      <c r="F20" s="53">
        <f>G19</f>
        <v>45830</v>
      </c>
      <c r="G20" s="53">
        <f>F20+4</f>
        <v>45834</v>
      </c>
      <c r="H20" s="11"/>
      <c r="I20" s="11">
        <f t="shared" si="6"/>
        <v>5</v>
      </c>
      <c r="J20" s="28"/>
      <c r="K20" s="28"/>
      <c r="L20" s="28"/>
      <c r="M20" s="28"/>
      <c r="N20" s="28"/>
      <c r="O20" s="28"/>
      <c r="P20" s="28"/>
      <c r="Q20" s="28"/>
      <c r="R20" s="28"/>
      <c r="S20" s="28"/>
      <c r="T20" s="28"/>
      <c r="U20" s="28"/>
      <c r="V20" s="28"/>
      <c r="W20" s="28"/>
      <c r="X20" s="28"/>
      <c r="Y20" s="28"/>
      <c r="Z20" s="28"/>
      <c r="AA20" s="28"/>
      <c r="AB20" s="28"/>
      <c r="AC20" s="28"/>
      <c r="AD20" s="28"/>
      <c r="AE20" s="28"/>
      <c r="AF20" s="28"/>
      <c r="AG20" s="28"/>
      <c r="AH20" s="28"/>
      <c r="AI20" s="28"/>
      <c r="AJ20" s="28"/>
      <c r="AK20" s="73"/>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row>
    <row r="21" spans="1:65" s="3" customFormat="1" ht="30" customHeight="1" thickBot="1" x14ac:dyDescent="0.3">
      <c r="A21" s="32"/>
      <c r="B21" s="46" t="s">
        <v>38</v>
      </c>
      <c r="C21" s="38" t="s">
        <v>39</v>
      </c>
      <c r="D21" s="38"/>
      <c r="E21" s="14">
        <v>0.5</v>
      </c>
      <c r="F21" s="53">
        <f>G20</f>
        <v>45834</v>
      </c>
      <c r="G21" s="53">
        <f>F21+4</f>
        <v>45838</v>
      </c>
      <c r="H21" s="11"/>
      <c r="I21" s="11"/>
      <c r="J21" s="28"/>
      <c r="K21" s="28"/>
      <c r="L21" s="28"/>
      <c r="M21" s="28"/>
      <c r="N21" s="28"/>
      <c r="O21" s="28"/>
      <c r="P21" s="28"/>
      <c r="Q21" s="28"/>
      <c r="R21" s="28"/>
      <c r="S21" s="28"/>
      <c r="T21" s="28"/>
      <c r="U21" s="28"/>
      <c r="V21" s="28"/>
      <c r="W21" s="28"/>
      <c r="X21" s="28"/>
      <c r="Y21" s="28"/>
      <c r="Z21" s="28"/>
      <c r="AA21" s="28"/>
      <c r="AB21" s="28"/>
      <c r="AC21" s="28"/>
      <c r="AD21" s="28"/>
      <c r="AE21" s="28"/>
      <c r="AF21" s="28"/>
      <c r="AG21" s="28"/>
      <c r="AH21" s="28"/>
      <c r="AI21" s="28"/>
      <c r="AJ21" s="28"/>
      <c r="AK21" s="73"/>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row>
    <row r="22" spans="1:65" s="3" customFormat="1" ht="30" customHeight="1" thickBot="1" x14ac:dyDescent="0.3">
      <c r="A22" s="32"/>
      <c r="B22" s="46" t="s">
        <v>32</v>
      </c>
      <c r="C22" s="38" t="s">
        <v>27</v>
      </c>
      <c r="D22" s="38"/>
      <c r="E22" s="14">
        <v>0</v>
      </c>
      <c r="F22" s="53">
        <f>G20</f>
        <v>45834</v>
      </c>
      <c r="G22" s="53">
        <f>F22+5</f>
        <v>45839</v>
      </c>
      <c r="H22" s="11"/>
      <c r="I22" s="11">
        <f t="shared" si="6"/>
        <v>6</v>
      </c>
      <c r="J22" s="28"/>
      <c r="K22" s="28"/>
      <c r="L22" s="28"/>
      <c r="M22" s="28"/>
      <c r="N22" s="28"/>
      <c r="O22" s="28"/>
      <c r="P22" s="28"/>
      <c r="Q22" s="28"/>
      <c r="R22" s="28"/>
      <c r="S22" s="28"/>
      <c r="T22" s="28"/>
      <c r="U22" s="28"/>
      <c r="V22" s="28"/>
      <c r="W22" s="28"/>
      <c r="X22" s="28"/>
      <c r="Y22" s="28"/>
      <c r="Z22" s="29"/>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row>
    <row r="23" spans="1:65" s="3" customFormat="1" ht="30" customHeight="1" thickBot="1" x14ac:dyDescent="0.3">
      <c r="A23" s="32"/>
      <c r="B23" s="46" t="s">
        <v>34</v>
      </c>
      <c r="C23" s="38" t="s">
        <v>27</v>
      </c>
      <c r="D23" s="38"/>
      <c r="E23" s="14">
        <v>0</v>
      </c>
      <c r="F23" s="53">
        <f>F19+1</f>
        <v>45829</v>
      </c>
      <c r="G23" s="53">
        <f>F23+2</f>
        <v>45831</v>
      </c>
      <c r="H23" s="11"/>
      <c r="I23" s="11">
        <f t="shared" si="6"/>
        <v>3</v>
      </c>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row>
    <row r="24" spans="1:65" s="3" customFormat="1" ht="30" customHeight="1" thickBot="1" x14ac:dyDescent="0.3">
      <c r="A24" s="32" t="s">
        <v>11</v>
      </c>
      <c r="B24" s="80" t="s">
        <v>58</v>
      </c>
      <c r="C24" s="81"/>
      <c r="D24" s="81"/>
      <c r="E24" s="82"/>
      <c r="F24" s="83"/>
      <c r="G24" s="84"/>
      <c r="H24" s="11"/>
      <c r="I24" s="11" t="str">
        <f t="shared" si="6"/>
        <v/>
      </c>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row>
    <row r="25" spans="1:65" s="3" customFormat="1" ht="30" customHeight="1" thickBot="1" x14ac:dyDescent="0.3">
      <c r="A25" s="32"/>
      <c r="B25" s="76" t="s">
        <v>73</v>
      </c>
      <c r="C25" s="77"/>
      <c r="D25" s="77"/>
      <c r="E25" s="78">
        <v>0</v>
      </c>
      <c r="F25" s="79">
        <v>45851</v>
      </c>
      <c r="G25" s="79">
        <f>F25+4</f>
        <v>45855</v>
      </c>
      <c r="H25" s="11"/>
      <c r="I25" s="11">
        <f t="shared" si="6"/>
        <v>5</v>
      </c>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row>
    <row r="26" spans="1:65" s="3" customFormat="1" ht="30" customHeight="1" thickBot="1" x14ac:dyDescent="0.3">
      <c r="A26" s="32"/>
      <c r="B26" s="76" t="s">
        <v>72</v>
      </c>
      <c r="C26" s="77"/>
      <c r="D26" s="77" t="s">
        <v>75</v>
      </c>
      <c r="E26" s="78">
        <v>0.5</v>
      </c>
      <c r="F26" s="79">
        <v>45829</v>
      </c>
      <c r="G26" s="79">
        <v>45829</v>
      </c>
      <c r="H26" s="11"/>
      <c r="I26" s="11">
        <f t="shared" si="6"/>
        <v>1</v>
      </c>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row>
    <row r="27" spans="1:65" s="3" customFormat="1" ht="30" customHeight="1" thickBot="1" x14ac:dyDescent="0.3">
      <c r="A27" s="32"/>
      <c r="B27" s="76" t="s">
        <v>71</v>
      </c>
      <c r="C27" s="77" t="s">
        <v>74</v>
      </c>
      <c r="D27" s="77" t="s">
        <v>76</v>
      </c>
      <c r="E27" s="78">
        <v>1</v>
      </c>
      <c r="F27" s="79">
        <f>G26+1</f>
        <v>45830</v>
      </c>
      <c r="G27" s="79">
        <f>F27+4</f>
        <v>45834</v>
      </c>
      <c r="H27" s="11"/>
      <c r="I27" s="11">
        <f t="shared" si="6"/>
        <v>5</v>
      </c>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row>
    <row r="28" spans="1:65" s="3" customFormat="1" ht="30" customHeight="1" thickBot="1" x14ac:dyDescent="0.3">
      <c r="A28" s="32"/>
      <c r="B28" s="76" t="s">
        <v>53</v>
      </c>
      <c r="C28" s="77" t="s">
        <v>45</v>
      </c>
      <c r="D28" s="77"/>
      <c r="E28" s="78">
        <v>0</v>
      </c>
      <c r="F28" s="79">
        <v>45829</v>
      </c>
      <c r="G28" s="79">
        <v>45829</v>
      </c>
      <c r="H28" s="11"/>
      <c r="I28" s="11">
        <f t="shared" si="6"/>
        <v>1</v>
      </c>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row>
    <row r="29" spans="1:65" s="3" customFormat="1" ht="30" customHeight="1" thickBot="1" x14ac:dyDescent="0.3">
      <c r="A29" s="32" t="s">
        <v>11</v>
      </c>
      <c r="B29" s="18" t="s">
        <v>46</v>
      </c>
      <c r="C29" s="41"/>
      <c r="D29" s="41"/>
      <c r="E29" s="19"/>
      <c r="F29" s="57"/>
      <c r="G29" s="58"/>
      <c r="H29" s="11"/>
      <c r="I29" s="11" t="str">
        <f t="shared" si="6"/>
        <v/>
      </c>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row>
    <row r="30" spans="1:65" s="3" customFormat="1" ht="30" customHeight="1" thickBot="1" x14ac:dyDescent="0.3">
      <c r="A30" s="32"/>
      <c r="B30" s="48" t="s">
        <v>38</v>
      </c>
      <c r="C30" s="42" t="s">
        <v>39</v>
      </c>
      <c r="D30" s="42"/>
      <c r="E30" s="20">
        <v>0.5</v>
      </c>
      <c r="F30" s="59">
        <f>F15+15</f>
        <v>45837</v>
      </c>
      <c r="G30" s="59">
        <f>F30+5</f>
        <v>45842</v>
      </c>
      <c r="H30" s="11"/>
      <c r="I30" s="11">
        <f t="shared" si="6"/>
        <v>6</v>
      </c>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row>
    <row r="31" spans="1:65" s="3" customFormat="1" ht="30" customHeight="1" thickBot="1" x14ac:dyDescent="0.3">
      <c r="A31" s="32"/>
      <c r="B31" s="48" t="s">
        <v>40</v>
      </c>
      <c r="C31" s="42" t="s">
        <v>27</v>
      </c>
      <c r="D31" s="42"/>
      <c r="E31" s="20">
        <v>0</v>
      </c>
      <c r="F31" s="59">
        <f>G30+1</f>
        <v>45843</v>
      </c>
      <c r="G31" s="59">
        <f>F31+4</f>
        <v>45847</v>
      </c>
      <c r="H31" s="11"/>
      <c r="I31" s="11">
        <f t="shared" si="6"/>
        <v>5</v>
      </c>
      <c r="J31" s="28"/>
      <c r="K31" s="28"/>
      <c r="L31" s="28"/>
      <c r="M31" s="28"/>
      <c r="N31" s="28"/>
      <c r="O31" s="28"/>
      <c r="P31" s="28"/>
      <c r="Q31" s="28"/>
      <c r="R31" s="28"/>
      <c r="S31" s="28"/>
      <c r="T31" s="28"/>
      <c r="U31" s="28"/>
      <c r="V31" s="28"/>
      <c r="W31" s="28"/>
      <c r="X31" s="28"/>
      <c r="Y31" s="28"/>
      <c r="Z31" s="28"/>
      <c r="AA31" s="28"/>
      <c r="AB31" s="28"/>
      <c r="AC31" s="28"/>
      <c r="AD31" s="28"/>
      <c r="AE31" s="28"/>
      <c r="AF31" s="28"/>
      <c r="AG31" s="28"/>
      <c r="AH31" s="28"/>
      <c r="AI31" s="28"/>
      <c r="AJ31" s="28"/>
      <c r="AK31" s="28"/>
      <c r="AL31" s="28"/>
      <c r="AM31" s="28"/>
      <c r="AN31" s="28"/>
      <c r="AO31" s="28"/>
      <c r="AP31" s="28"/>
      <c r="AQ31" s="28"/>
      <c r="AR31" s="28"/>
      <c r="AS31" s="28"/>
      <c r="AT31" s="28"/>
      <c r="AU31" s="28"/>
      <c r="AV31" s="28"/>
      <c r="AW31" s="28"/>
      <c r="AX31" s="28"/>
      <c r="AY31" s="28"/>
      <c r="AZ31" s="28"/>
      <c r="BA31" s="28"/>
      <c r="BB31" s="28"/>
      <c r="BC31" s="28"/>
      <c r="BD31" s="28"/>
      <c r="BE31" s="28"/>
      <c r="BF31" s="28"/>
      <c r="BG31" s="28"/>
      <c r="BH31" s="28"/>
      <c r="BI31" s="28"/>
      <c r="BJ31" s="28"/>
      <c r="BK31" s="28"/>
      <c r="BL31" s="28"/>
      <c r="BM31" s="28"/>
    </row>
    <row r="32" spans="1:65" s="3" customFormat="1" ht="30" customHeight="1" thickBot="1" x14ac:dyDescent="0.3">
      <c r="A32" s="32"/>
      <c r="B32" s="48" t="s">
        <v>52</v>
      </c>
      <c r="C32" s="42" t="s">
        <v>39</v>
      </c>
      <c r="D32" s="42" t="s">
        <v>44</v>
      </c>
      <c r="E32" s="20">
        <v>1</v>
      </c>
      <c r="F32" s="59">
        <v>45829</v>
      </c>
      <c r="G32" s="59">
        <v>45829</v>
      </c>
      <c r="H32" s="11"/>
      <c r="I32" s="11">
        <f t="shared" si="6"/>
        <v>1</v>
      </c>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c r="AR32" s="28"/>
      <c r="AS32" s="28"/>
      <c r="AT32" s="28"/>
      <c r="AU32" s="28"/>
      <c r="AV32" s="28"/>
      <c r="AW32" s="28"/>
      <c r="AX32" s="28"/>
      <c r="AY32" s="28"/>
      <c r="AZ32" s="28"/>
      <c r="BA32" s="28"/>
      <c r="BB32" s="28"/>
      <c r="BC32" s="28"/>
      <c r="BD32" s="28"/>
      <c r="BE32" s="28"/>
      <c r="BF32" s="28"/>
      <c r="BG32" s="28"/>
      <c r="BH32" s="28"/>
      <c r="BI32" s="28"/>
      <c r="BJ32" s="28"/>
      <c r="BK32" s="28"/>
      <c r="BL32" s="28"/>
      <c r="BM32" s="28"/>
    </row>
    <row r="33" spans="1:65" s="3" customFormat="1" ht="30" customHeight="1" thickBot="1" x14ac:dyDescent="0.3">
      <c r="A33" s="32"/>
      <c r="B33" s="48" t="s">
        <v>41</v>
      </c>
      <c r="C33" s="42" t="s">
        <v>27</v>
      </c>
      <c r="D33" s="42" t="s">
        <v>70</v>
      </c>
      <c r="E33" s="20">
        <v>1</v>
      </c>
      <c r="F33" s="59">
        <v>45837</v>
      </c>
      <c r="G33" s="59">
        <v>45851</v>
      </c>
      <c r="H33" s="11"/>
      <c r="I33" s="11">
        <f t="shared" si="6"/>
        <v>15</v>
      </c>
      <c r="J33" s="28"/>
      <c r="K33" s="28"/>
      <c r="L33" s="28"/>
      <c r="M33" s="28"/>
      <c r="N33" s="28"/>
      <c r="O33" s="28"/>
      <c r="P33" s="28"/>
      <c r="Q33" s="28"/>
      <c r="R33" s="28"/>
      <c r="S33" s="28"/>
      <c r="T33" s="28"/>
      <c r="U33" s="28"/>
      <c r="V33" s="28"/>
      <c r="W33" s="28"/>
      <c r="X33" s="28"/>
      <c r="Y33" s="28"/>
      <c r="Z33" s="28"/>
      <c r="AA33" s="28"/>
      <c r="AB33" s="28"/>
      <c r="AC33" s="28"/>
      <c r="AD33" s="28"/>
      <c r="AE33" s="28"/>
      <c r="AF33" s="28"/>
      <c r="AG33" s="28"/>
      <c r="AH33" s="28"/>
      <c r="AI33" s="28"/>
      <c r="AJ33" s="28"/>
      <c r="AK33" s="28"/>
      <c r="AL33" s="28"/>
      <c r="AM33" s="28"/>
      <c r="AN33" s="28"/>
      <c r="AO33" s="28"/>
      <c r="AP33" s="28"/>
      <c r="AQ33" s="28"/>
      <c r="AR33" s="28"/>
      <c r="AS33" s="28"/>
      <c r="AT33" s="28"/>
      <c r="AU33" s="28"/>
      <c r="AV33" s="28"/>
      <c r="AW33" s="28"/>
      <c r="AX33" s="28"/>
      <c r="AY33" s="28"/>
      <c r="AZ33" s="28"/>
      <c r="BA33" s="28"/>
      <c r="BB33" s="28"/>
      <c r="BC33" s="28"/>
      <c r="BD33" s="28"/>
      <c r="BE33" s="28"/>
      <c r="BF33" s="28"/>
      <c r="BG33" s="28"/>
      <c r="BH33" s="28"/>
      <c r="BI33" s="28"/>
      <c r="BJ33" s="28"/>
      <c r="BK33" s="28"/>
      <c r="BL33" s="28"/>
      <c r="BM33" s="28"/>
    </row>
    <row r="34" spans="1:65" s="3" customFormat="1" ht="30" customHeight="1" thickBot="1" x14ac:dyDescent="0.3">
      <c r="A34" s="32" t="s">
        <v>11</v>
      </c>
      <c r="B34" s="21" t="s">
        <v>47</v>
      </c>
      <c r="C34" s="74" t="s">
        <v>56</v>
      </c>
      <c r="D34" s="43"/>
      <c r="E34" s="22"/>
      <c r="F34" s="60"/>
      <c r="G34" s="61"/>
      <c r="H34" s="11"/>
      <c r="I34" s="11" t="str">
        <f t="shared" si="6"/>
        <v/>
      </c>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Y34" s="28"/>
      <c r="AZ34" s="28"/>
      <c r="BA34" s="28"/>
      <c r="BB34" s="28"/>
      <c r="BC34" s="28"/>
      <c r="BD34" s="28"/>
      <c r="BE34" s="28"/>
      <c r="BF34" s="28"/>
      <c r="BG34" s="28"/>
      <c r="BH34" s="28"/>
      <c r="BI34" s="28"/>
      <c r="BJ34" s="28"/>
      <c r="BK34" s="28"/>
      <c r="BL34" s="28"/>
      <c r="BM34" s="28"/>
    </row>
    <row r="35" spans="1:65" s="3" customFormat="1" ht="30" customHeight="1" thickBot="1" x14ac:dyDescent="0.3">
      <c r="A35" s="32"/>
      <c r="B35" s="49" t="s">
        <v>49</v>
      </c>
      <c r="C35" s="44" t="s">
        <v>55</v>
      </c>
      <c r="D35" s="44" t="s">
        <v>59</v>
      </c>
      <c r="E35" s="23">
        <v>1</v>
      </c>
      <c r="F35" s="62">
        <v>45837</v>
      </c>
      <c r="G35" s="62">
        <v>45837</v>
      </c>
      <c r="H35" s="11"/>
      <c r="I35" s="11">
        <f t="shared" si="6"/>
        <v>1</v>
      </c>
      <c r="J35" s="28"/>
      <c r="K35" s="28"/>
      <c r="L35" s="28"/>
      <c r="M35" s="28"/>
      <c r="N35" s="28"/>
      <c r="O35" s="28"/>
      <c r="P35" s="28"/>
      <c r="Q35" s="28"/>
      <c r="R35" s="28"/>
      <c r="S35" s="28"/>
      <c r="T35" s="28"/>
      <c r="U35" s="28"/>
      <c r="V35" s="28"/>
      <c r="W35" s="28"/>
      <c r="X35" s="28"/>
      <c r="Y35" s="28"/>
      <c r="Z35" s="28"/>
      <c r="AA35" s="28"/>
      <c r="AB35" s="28"/>
      <c r="AC35" s="28"/>
      <c r="AD35" s="28"/>
      <c r="AE35" s="28"/>
      <c r="AF35" s="28"/>
      <c r="AG35" s="28"/>
      <c r="AH35" s="28"/>
      <c r="AI35" s="28"/>
      <c r="AJ35" s="28"/>
      <c r="AK35" s="28"/>
      <c r="AL35" s="28"/>
      <c r="AM35" s="28"/>
      <c r="AN35" s="28"/>
      <c r="AO35" s="28"/>
      <c r="AP35" s="28"/>
      <c r="AQ35" s="28"/>
      <c r="AR35" s="28"/>
      <c r="AS35" s="28"/>
      <c r="AT35" s="28"/>
      <c r="AU35" s="28"/>
      <c r="AV35" s="28"/>
      <c r="AW35" s="28"/>
      <c r="AX35" s="28"/>
      <c r="AY35" s="28"/>
      <c r="AZ35" s="28"/>
      <c r="BA35" s="28"/>
      <c r="BB35" s="28"/>
      <c r="BC35" s="28"/>
      <c r="BD35" s="28"/>
      <c r="BE35" s="28"/>
      <c r="BF35" s="28"/>
      <c r="BG35" s="28"/>
      <c r="BH35" s="28"/>
      <c r="BI35" s="28"/>
      <c r="BJ35" s="28"/>
      <c r="BK35" s="28"/>
      <c r="BL35" s="28"/>
      <c r="BM35" s="28"/>
    </row>
    <row r="36" spans="1:65" s="3" customFormat="1" ht="30" customHeight="1" thickBot="1" x14ac:dyDescent="0.3">
      <c r="A36" s="32"/>
      <c r="B36" s="49" t="s">
        <v>57</v>
      </c>
      <c r="C36" s="44" t="s">
        <v>55</v>
      </c>
      <c r="D36" s="44"/>
      <c r="E36" s="23">
        <v>1</v>
      </c>
      <c r="F36" s="62">
        <v>45837</v>
      </c>
      <c r="G36" s="62">
        <v>45837</v>
      </c>
      <c r="H36" s="11"/>
      <c r="I36" s="11"/>
      <c r="J36" s="28"/>
      <c r="K36" s="28"/>
      <c r="L36" s="28"/>
      <c r="M36" s="28"/>
      <c r="N36" s="28"/>
      <c r="O36" s="28"/>
      <c r="P36" s="28"/>
      <c r="Q36" s="28"/>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c r="AV36" s="28"/>
      <c r="AW36" s="28"/>
      <c r="AX36" s="28"/>
      <c r="AY36" s="28"/>
      <c r="AZ36" s="28"/>
      <c r="BA36" s="28"/>
      <c r="BB36" s="28"/>
      <c r="BC36" s="28"/>
      <c r="BD36" s="28"/>
      <c r="BE36" s="28"/>
      <c r="BF36" s="28"/>
      <c r="BG36" s="28"/>
      <c r="BH36" s="28"/>
      <c r="BI36" s="28"/>
      <c r="BJ36" s="28"/>
      <c r="BK36" s="28"/>
      <c r="BL36" s="28"/>
      <c r="BM36" s="28"/>
    </row>
    <row r="37" spans="1:65" s="3" customFormat="1" ht="30" customHeight="1" thickBot="1" x14ac:dyDescent="0.3">
      <c r="A37" s="32"/>
      <c r="B37" s="49" t="s">
        <v>48</v>
      </c>
      <c r="C37" s="44" t="s">
        <v>55</v>
      </c>
      <c r="D37" s="44"/>
      <c r="E37" s="23">
        <v>1</v>
      </c>
      <c r="F37" s="62">
        <v>45837</v>
      </c>
      <c r="G37" s="62">
        <v>45837</v>
      </c>
      <c r="H37" s="11"/>
      <c r="I37" s="11">
        <f t="shared" si="6"/>
        <v>1</v>
      </c>
      <c r="J37" s="28"/>
      <c r="K37" s="28"/>
      <c r="L37" s="28"/>
      <c r="M37" s="28"/>
      <c r="N37" s="28"/>
      <c r="O37" s="28"/>
      <c r="P37" s="28"/>
      <c r="Q37" s="28"/>
      <c r="R37" s="28"/>
      <c r="S37" s="28"/>
      <c r="T37" s="28"/>
      <c r="U37" s="28"/>
      <c r="V37" s="28"/>
      <c r="W37" s="28"/>
      <c r="X37" s="28"/>
      <c r="Y37" s="28"/>
      <c r="Z37" s="28"/>
      <c r="AA37" s="28"/>
      <c r="AB37" s="28"/>
      <c r="AC37" s="28"/>
      <c r="AD37" s="28"/>
      <c r="AE37" s="28"/>
      <c r="AF37" s="28"/>
      <c r="AG37" s="28"/>
      <c r="AH37" s="28"/>
      <c r="AI37" s="28"/>
      <c r="AJ37" s="28"/>
      <c r="AK37" s="28"/>
      <c r="AL37" s="28"/>
      <c r="AM37" s="28"/>
      <c r="AN37" s="28"/>
      <c r="AO37" s="28"/>
      <c r="AP37" s="28"/>
      <c r="AQ37" s="28"/>
      <c r="AR37" s="28"/>
      <c r="AS37" s="28"/>
      <c r="AT37" s="28"/>
      <c r="AU37" s="28"/>
      <c r="AV37" s="28"/>
      <c r="AW37" s="28"/>
      <c r="AX37" s="28"/>
      <c r="AY37" s="28"/>
      <c r="AZ37" s="28"/>
      <c r="BA37" s="28"/>
      <c r="BB37" s="28"/>
      <c r="BC37" s="28"/>
      <c r="BD37" s="28"/>
      <c r="BE37" s="28"/>
      <c r="BF37" s="28"/>
      <c r="BG37" s="28"/>
      <c r="BH37" s="28"/>
      <c r="BI37" s="28"/>
      <c r="BJ37" s="28"/>
      <c r="BK37" s="28"/>
      <c r="BL37" s="28"/>
      <c r="BM37" s="28"/>
    </row>
    <row r="38" spans="1:65" s="3" customFormat="1" ht="30" customHeight="1" thickBot="1" x14ac:dyDescent="0.3">
      <c r="A38" s="32"/>
      <c r="B38" s="49" t="s">
        <v>50</v>
      </c>
      <c r="C38" s="44" t="s">
        <v>55</v>
      </c>
      <c r="D38" s="44"/>
      <c r="E38" s="23">
        <v>1</v>
      </c>
      <c r="F38" s="62">
        <v>45837</v>
      </c>
      <c r="G38" s="62">
        <v>45837</v>
      </c>
      <c r="H38" s="11"/>
      <c r="I38" s="11">
        <f t="shared" si="6"/>
        <v>1</v>
      </c>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c r="AR38" s="28"/>
      <c r="AS38" s="28"/>
      <c r="AT38" s="28"/>
      <c r="AU38" s="28"/>
      <c r="AV38" s="28"/>
      <c r="AW38" s="28"/>
      <c r="AX38" s="28"/>
      <c r="AY38" s="28"/>
      <c r="AZ38" s="28"/>
      <c r="BA38" s="28"/>
      <c r="BB38" s="28"/>
      <c r="BC38" s="28"/>
      <c r="BD38" s="28"/>
      <c r="BE38" s="28"/>
      <c r="BF38" s="28"/>
      <c r="BG38" s="28"/>
      <c r="BH38" s="28"/>
      <c r="BI38" s="28"/>
      <c r="BJ38" s="28"/>
      <c r="BK38" s="28"/>
      <c r="BL38" s="28"/>
      <c r="BM38" s="28"/>
    </row>
    <row r="39" spans="1:65" s="3" customFormat="1" ht="30" customHeight="1" thickBot="1" x14ac:dyDescent="0.3">
      <c r="A39" s="32"/>
      <c r="B39" s="49" t="s">
        <v>51</v>
      </c>
      <c r="C39" s="44" t="s">
        <v>55</v>
      </c>
      <c r="D39" s="44"/>
      <c r="E39" s="23">
        <v>1</v>
      </c>
      <c r="F39" s="62">
        <v>45837</v>
      </c>
      <c r="G39" s="62">
        <v>45837</v>
      </c>
      <c r="H39" s="11"/>
      <c r="I39" s="11">
        <f t="shared" si="6"/>
        <v>1</v>
      </c>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c r="AR39" s="28"/>
      <c r="AS39" s="28"/>
      <c r="AT39" s="28"/>
      <c r="AU39" s="28"/>
      <c r="AV39" s="28"/>
      <c r="AW39" s="28"/>
      <c r="AX39" s="28"/>
      <c r="AY39" s="28"/>
      <c r="AZ39" s="28"/>
      <c r="BA39" s="28"/>
      <c r="BB39" s="28"/>
      <c r="BC39" s="28"/>
      <c r="BD39" s="28"/>
      <c r="BE39" s="28"/>
      <c r="BF39" s="28"/>
      <c r="BG39" s="28"/>
      <c r="BH39" s="28"/>
      <c r="BI39" s="28"/>
      <c r="BJ39" s="28"/>
      <c r="BK39" s="28"/>
      <c r="BL39" s="28"/>
      <c r="BM39" s="28"/>
    </row>
    <row r="40" spans="1:65" s="3" customFormat="1" ht="30" customHeight="1" thickBot="1" x14ac:dyDescent="0.3">
      <c r="A40" s="32"/>
      <c r="B40" s="49" t="s">
        <v>54</v>
      </c>
      <c r="C40" s="44" t="s">
        <v>27</v>
      </c>
      <c r="D40" s="44" t="s">
        <v>60</v>
      </c>
      <c r="E40" s="23">
        <v>0</v>
      </c>
      <c r="F40" s="62"/>
      <c r="G40" s="62"/>
      <c r="H40" s="11"/>
      <c r="I40" s="11" t="str">
        <f t="shared" si="6"/>
        <v/>
      </c>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c r="BB40" s="28"/>
      <c r="BC40" s="28"/>
      <c r="BD40" s="28"/>
      <c r="BE40" s="28"/>
      <c r="BF40" s="28"/>
      <c r="BG40" s="28"/>
      <c r="BH40" s="28"/>
      <c r="BI40" s="28"/>
      <c r="BJ40" s="28"/>
      <c r="BK40" s="28"/>
      <c r="BL40" s="28"/>
      <c r="BM40" s="28"/>
    </row>
    <row r="41" spans="1:65" s="3" customFormat="1" ht="30" customHeight="1" thickBot="1" x14ac:dyDescent="0.3">
      <c r="A41" s="32" t="s">
        <v>12</v>
      </c>
      <c r="B41" s="50"/>
      <c r="C41" s="45"/>
      <c r="D41" s="45"/>
      <c r="E41" s="10"/>
      <c r="F41" s="63"/>
      <c r="G41" s="63"/>
      <c r="H41" s="11"/>
      <c r="I41" s="11" t="str">
        <f t="shared" si="6"/>
        <v/>
      </c>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8"/>
      <c r="AZ41" s="28"/>
      <c r="BA41" s="28"/>
      <c r="BB41" s="28"/>
      <c r="BC41" s="28"/>
      <c r="BD41" s="28"/>
      <c r="BE41" s="28"/>
      <c r="BF41" s="28"/>
      <c r="BG41" s="28"/>
      <c r="BH41" s="28"/>
      <c r="BI41" s="28"/>
      <c r="BJ41" s="28"/>
      <c r="BK41" s="28"/>
      <c r="BL41" s="28"/>
      <c r="BM41" s="28"/>
    </row>
    <row r="42" spans="1:65" s="3" customFormat="1" ht="30" customHeight="1" thickBot="1" x14ac:dyDescent="0.3">
      <c r="A42" s="33" t="s">
        <v>13</v>
      </c>
      <c r="B42" s="24" t="s">
        <v>17</v>
      </c>
      <c r="C42" s="25"/>
      <c r="D42" s="25"/>
      <c r="E42" s="26"/>
      <c r="F42" s="64"/>
      <c r="G42" s="65"/>
      <c r="H42" s="27"/>
      <c r="I42" s="27" t="str">
        <f t="shared" si="6"/>
        <v/>
      </c>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row>
    <row r="43" spans="1:65" ht="30" customHeight="1" x14ac:dyDescent="0.25">
      <c r="H43" s="6"/>
    </row>
    <row r="44" spans="1:65" ht="30" customHeight="1" x14ac:dyDescent="0.25">
      <c r="C44" s="8"/>
      <c r="D44" s="8"/>
      <c r="G44" s="34"/>
    </row>
    <row r="45" spans="1:65" ht="30" customHeight="1" x14ac:dyDescent="0.25">
      <c r="C45" s="9"/>
      <c r="D45" s="9"/>
    </row>
  </sheetData>
  <mergeCells count="12">
    <mergeCell ref="C3:E3"/>
    <mergeCell ref="C4:E4"/>
    <mergeCell ref="B5:H5"/>
    <mergeCell ref="AL4:AR4"/>
    <mergeCell ref="AS4:AY4"/>
    <mergeCell ref="AZ4:BF4"/>
    <mergeCell ref="BG4:BM4"/>
    <mergeCell ref="F3:G3"/>
    <mergeCell ref="J4:P4"/>
    <mergeCell ref="Q4:W4"/>
    <mergeCell ref="X4:AD4"/>
    <mergeCell ref="AE4:AK4"/>
  </mergeCells>
  <conditionalFormatting sqref="E7:E42">
    <cfRule type="dataBar" priority="14">
      <dataBar>
        <cfvo type="num" val="0"/>
        <cfvo type="num" val="1"/>
        <color rgb="FF00B050"/>
      </dataBar>
      <extLst>
        <ext xmlns:x14="http://schemas.microsoft.com/office/spreadsheetml/2009/9/main" uri="{B025F937-C7B1-47D3-B67F-A62EFF666E3E}">
          <x14:id>{B0389232-4C98-4A03-AD0E-39F63BAD1F53}</x14:id>
        </ext>
      </extLst>
    </cfRule>
  </conditionalFormatting>
  <conditionalFormatting sqref="J5:BM42">
    <cfRule type="expression" dxfId="2" priority="33">
      <formula>AND(TODAY()&gt;=J$5,TODAY()&lt;K$5)</formula>
    </cfRule>
  </conditionalFormatting>
  <conditionalFormatting sqref="J7:BM42">
    <cfRule type="expression" dxfId="1" priority="27">
      <formula>AND(Fecha_incio&lt;=J$5,ROUNDDOWN((Fecha_final-Fecha_incio+1)*Progresos,0)+Fecha_incio-1&gt;=J$5)</formula>
    </cfRule>
    <cfRule type="expression" dxfId="0" priority="28" stopIfTrue="1">
      <formula>AND(Fecha_final&gt;=J$5,Fecha_incio&lt;K$5)</formula>
    </cfRule>
  </conditionalFormatting>
  <dataValidations disablePrompts="1" count="1">
    <dataValidation type="whole" operator="greaterThanOrEqual" allowBlank="1" showInputMessage="1" promptTitle="Mostrar semana" prompt="Al cambiar este número, se desplazará la vista del diagrama de Gantt." sqref="F4" xr:uid="{00000000-0002-0000-0000-000000000000}">
      <formula1>1</formula1>
    </dataValidation>
  </dataValidations>
  <printOptions horizontalCentered="1"/>
  <pageMargins left="0.35" right="0.35" top="0.35" bottom="0.5" header="0.3" footer="0.3"/>
  <pageSetup paperSize="9"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E7:E42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calendarioproyecto</vt:lpstr>
      <vt:lpstr>calendarioproyecto!Fecha_final</vt:lpstr>
      <vt:lpstr>calendarioproyecto!Fecha_incio</vt:lpstr>
      <vt:lpstr>InicioDelProyecto</vt:lpstr>
      <vt:lpstr>calendarioproyecto!Progresos</vt:lpstr>
      <vt:lpstr>SemanaParaMostrar</vt:lpstr>
      <vt:lpstr>calendarioproyecto!Títulos_a_imprimir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2019-03-19T17:17:03Z</dcterms:created>
  <dcterms:modified xsi:type="dcterms:W3CDTF">2025-07-13T23:17:38Z</dcterms:modified>
</cp:coreProperties>
</file>