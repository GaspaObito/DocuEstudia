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filterPrivacy="1" codeName="ThisWorkbook"/>
  <xr:revisionPtr revIDLastSave="0" documentId="13_ncr:1_{1FD45B30-003F-4114-B814-FC86A2E406CF}" xr6:coauthVersionLast="47" xr6:coauthVersionMax="47" xr10:uidLastSave="{00000000-0000-0000-0000-000000000000}"/>
  <bookViews>
    <workbookView xWindow="-120" yWindow="-120" windowWidth="29040" windowHeight="16440" xr2:uid="{00000000-000D-0000-FFFF-FFFF00000000}"/>
  </bookViews>
  <sheets>
    <sheet name="calendarioproyecto" sheetId="11" r:id="rId1"/>
  </sheets>
  <externalReferences>
    <externalReference r:id="rId2"/>
    <externalReference r:id="rId3"/>
    <externalReference r:id="rId4"/>
  </externalReferences>
  <definedNames>
    <definedName name="CIQWBGuid" hidden="1">"2cd8126d-26c3-430c-b7fa-a069e3a1fc62"</definedName>
    <definedName name="CODIGO1">[1]DIARIO!$C$12:$C$501</definedName>
    <definedName name="CODIGO2">[2]BALANCE!$A1</definedName>
    <definedName name="DEBE">[1]DIARIO!$F$12:$F$501</definedName>
    <definedName name="Fecha_final" localSheetId="0">calendarioproyecto!$G1</definedName>
    <definedName name="Fecha_incio" localSheetId="0">calendarioproyecto!$F1</definedName>
    <definedName name="HABER">[1]DIARIO!$G$12:$G$501</definedName>
    <definedName name="hoy" localSheetId="0">TODAY()</definedName>
    <definedName name="InicioDelProyecto">calendarioproyecto!$F$3</definedName>
    <definedName name="IQ_CH" hidden="1">110000</definedName>
    <definedName name="IQ_CQ" hidden="1">5000</definedName>
    <definedName name="IQ_CY" hidden="1">10000</definedName>
    <definedName name="IQ_DAILY" hidden="1">500000</definedName>
    <definedName name="IQ_DNTM" hidden="1">700000</definedName>
    <definedName name="IQ_FH" hidden="1">100000</definedName>
    <definedName name="IQ_FQ" hidden="1">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 hidden="1">1000</definedName>
    <definedName name="IQ_LATESTK" hidden="1">1000</definedName>
    <definedName name="IQ_LATESTQ" hidden="1">500</definedName>
    <definedName name="IQ_LTM" hidden="1">2000</definedName>
    <definedName name="IQ_LTMMONTH" hidden="1">120000</definedName>
    <definedName name="IQ_MONTH" hidden="1">15000</definedName>
    <definedName name="IQ_MTD" hidden="1">800000</definedName>
    <definedName name="IQ_NAMES_REVISION_DATE_" hidden="1">41666.7099189815</definedName>
    <definedName name="IQ_NTM" hidden="1">6000</definedName>
    <definedName name="IQ_QTD" hidden="1">750000</definedName>
    <definedName name="IQ_TODAY" hidden="1">0</definedName>
    <definedName name="IQ_WEEK" hidden="1">50000</definedName>
    <definedName name="IQ_YTD" hidden="1">3000</definedName>
    <definedName name="IQ_YTDMONTH" hidden="1">130000</definedName>
    <definedName name="Progresos" localSheetId="0">calendarioproyecto!$E1</definedName>
    <definedName name="SemanaParaMostrar">calendarioproyecto!$F$4</definedName>
    <definedName name="_xlnm.Print_Titles" localSheetId="0">calendarioproyecto!$4:$6</definedName>
    <definedName name="Type">'[3]Maintenance Work Order'!#REF!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G17" i="11" l="1"/>
  <c r="I29" i="11"/>
  <c r="F28" i="11"/>
  <c r="G28" i="11" s="1"/>
  <c r="I27" i="11"/>
  <c r="I25" i="11"/>
  <c r="I7" i="11"/>
  <c r="I28" i="11" l="1"/>
  <c r="F15" i="11"/>
  <c r="J5" i="11"/>
  <c r="I44" i="11"/>
  <c r="I41" i="11"/>
  <c r="I40" i="11"/>
  <c r="I39" i="11"/>
  <c r="I36" i="11"/>
  <c r="I30" i="11"/>
  <c r="I8" i="11"/>
  <c r="I14" i="11"/>
  <c r="G26" i="11" l="1"/>
  <c r="I26" i="11" s="1"/>
  <c r="G15" i="11"/>
  <c r="F31" i="11"/>
  <c r="G31" i="11" s="1"/>
  <c r="I42" i="11"/>
  <c r="J6" i="11"/>
  <c r="F20" i="11" l="1"/>
  <c r="F24" i="11" s="1"/>
  <c r="F9" i="11" s="1"/>
  <c r="F10" i="11" s="1"/>
  <c r="G10" i="11" s="1"/>
  <c r="I15" i="11"/>
  <c r="I43" i="11"/>
  <c r="I31" i="11"/>
  <c r="G24" i="11"/>
  <c r="I24" i="11" s="1"/>
  <c r="K5" i="11"/>
  <c r="L5" i="11" s="1"/>
  <c r="M5" i="11" s="1"/>
  <c r="N5" i="11" s="1"/>
  <c r="O5" i="11" s="1"/>
  <c r="P5" i="11" s="1"/>
  <c r="Q5" i="11" s="1"/>
  <c r="J4" i="11"/>
  <c r="G20" i="11" l="1"/>
  <c r="F21" i="11" s="1"/>
  <c r="G21" i="11" s="1"/>
  <c r="G9" i="11"/>
  <c r="I9" i="11" s="1"/>
  <c r="I20" i="11"/>
  <c r="F23" i="11"/>
  <c r="F22" i="11"/>
  <c r="G22" i="11" s="1"/>
  <c r="I10" i="11"/>
  <c r="F11" i="11"/>
  <c r="G11" i="11" s="1"/>
  <c r="I21" i="11"/>
  <c r="G23" i="11"/>
  <c r="I23" i="11" s="1"/>
  <c r="Q4" i="11"/>
  <c r="R5" i="11"/>
  <c r="S5" i="11" s="1"/>
  <c r="T5" i="11" s="1"/>
  <c r="U5" i="11" s="1"/>
  <c r="V5" i="11" s="1"/>
  <c r="W5" i="11" s="1"/>
  <c r="X5" i="11" s="1"/>
  <c r="K6" i="11"/>
  <c r="I37" i="11" l="1"/>
  <c r="F12" i="11"/>
  <c r="F13" i="11" s="1"/>
  <c r="G13" i="11" s="1"/>
  <c r="I13" i="11" s="1"/>
  <c r="I35" i="11"/>
  <c r="I33" i="11"/>
  <c r="G12" i="11"/>
  <c r="I12" i="11" s="1"/>
  <c r="I11" i="11"/>
  <c r="X4" i="11"/>
  <c r="Y5" i="11"/>
  <c r="Z5" i="11" s="1"/>
  <c r="AA5" i="11" s="1"/>
  <c r="AB5" i="11" s="1"/>
  <c r="AC5" i="11" s="1"/>
  <c r="AD5" i="11" s="1"/>
  <c r="AE5" i="11" s="1"/>
  <c r="L6" i="11"/>
  <c r="AF5" i="11" l="1"/>
  <c r="AG5" i="11" s="1"/>
  <c r="AH5" i="11" s="1"/>
  <c r="AI5" i="11" s="1"/>
  <c r="AJ5" i="11" s="1"/>
  <c r="AK5" i="11" s="1"/>
  <c r="AE4" i="11"/>
  <c r="M6" i="11"/>
  <c r="AL5" i="11" l="1"/>
  <c r="AM5" i="11" s="1"/>
  <c r="AN5" i="11" s="1"/>
  <c r="AO5" i="11" s="1"/>
  <c r="AP5" i="11" s="1"/>
  <c r="AQ5" i="11" s="1"/>
  <c r="AR5" i="11" s="1"/>
  <c r="N6" i="11"/>
  <c r="AS5" i="11" l="1"/>
  <c r="AT5" i="11" s="1"/>
  <c r="AL4" i="11"/>
  <c r="O6" i="11"/>
  <c r="AU5" i="11" l="1"/>
  <c r="AT6" i="11"/>
  <c r="AS4" i="11"/>
  <c r="P6" i="11"/>
  <c r="AV5" i="11" l="1"/>
  <c r="AU6" i="11"/>
  <c r="AW5" i="11" l="1"/>
  <c r="AV6" i="11"/>
  <c r="Q6" i="11"/>
  <c r="R6" i="11"/>
  <c r="AX5" i="11" l="1"/>
  <c r="AW6" i="11"/>
  <c r="S6" i="11"/>
  <c r="AY5" i="11" l="1"/>
  <c r="AZ5" i="11" s="1"/>
  <c r="AX6" i="11"/>
  <c r="T6" i="11"/>
  <c r="AZ6" i="11" l="1"/>
  <c r="BA5" i="11"/>
  <c r="AZ4" i="11"/>
  <c r="AY6" i="11"/>
  <c r="U6" i="11"/>
  <c r="BB5" i="11" l="1"/>
  <c r="BA6" i="11"/>
  <c r="V6" i="11"/>
  <c r="BB6" i="11" l="1"/>
  <c r="BC5" i="11"/>
  <c r="W6" i="11"/>
  <c r="BC6" i="11" l="1"/>
  <c r="BD5" i="11"/>
  <c r="X6" i="11"/>
  <c r="BD6" i="11" l="1"/>
  <c r="BE5" i="11"/>
  <c r="Y6" i="11"/>
  <c r="BF5" i="11" l="1"/>
  <c r="BE6" i="11"/>
  <c r="Z6" i="11"/>
  <c r="BF6" i="11" l="1"/>
  <c r="BG5" i="11"/>
  <c r="AA6" i="11"/>
  <c r="BG6" i="11" l="1"/>
  <c r="BH5" i="11"/>
  <c r="BG4" i="11"/>
  <c r="AB6" i="11"/>
  <c r="BH6" i="11" l="1"/>
  <c r="BI5" i="11"/>
  <c r="AC6" i="11"/>
  <c r="BJ5" i="11" l="1"/>
  <c r="BI6" i="11"/>
  <c r="AD6" i="11"/>
  <c r="BK5" i="11" l="1"/>
  <c r="BJ6" i="11"/>
  <c r="AE6" i="11"/>
  <c r="BL5" i="11" l="1"/>
  <c r="BK6" i="11"/>
  <c r="AF6" i="11"/>
  <c r="BM5" i="11" l="1"/>
  <c r="BL6" i="11"/>
  <c r="AG6" i="11"/>
  <c r="BM6" i="11" l="1"/>
  <c r="AH6" i="11"/>
  <c r="AI6" i="11" l="1"/>
  <c r="AJ6" i="11" l="1"/>
  <c r="AK6" i="11" l="1"/>
  <c r="AL6" i="11" l="1"/>
  <c r="AM6" i="11" l="1"/>
  <c r="AN6" i="11" l="1"/>
  <c r="AO6" i="11" l="1"/>
  <c r="AP6" i="11" l="1"/>
  <c r="AQ6" i="11" l="1"/>
  <c r="AR6" i="11" l="1"/>
  <c r="AS6" i="11" l="1"/>
</calcChain>
</file>

<file path=xl/sharedStrings.xml><?xml version="1.0" encoding="utf-8"?>
<sst xmlns="http://schemas.openxmlformats.org/spreadsheetml/2006/main" count="110" uniqueCount="89">
  <si>
    <t>Cree una programación para un proyecto en esta hoja de cálculo.
Escriba el título de este proyecto en la celda B1. 
Para obtener información sobre cómo usar esta hoja de cálculo, incluidas las instrucciones para lectores de pantalla y el nombre del autor de este libro, vea la hoja de cálculo Información.
Desplácese hacia abajo por la columna A para escuchar más instrucciones.</t>
  </si>
  <si>
    <t>Escriba el nombre de la compañía en la celda B2.</t>
  </si>
  <si>
    <t>Escriba el nombre del responsable del proyecto en la celda B3. Escriba la fecha de comienzo del proyecto en la celda E3. Inicio del proyecto: la etiqueta se encuentra en la celda C3.</t>
  </si>
  <si>
    <t>La semana que se muestra en la celda E4 representa la semana inicial para mostrar en la programación del proyecto en la celda I4. La fecha de inicio del proyecto se considera la semana 1. Para cambiar semana que se muestra, simplemente escriba un número de semana nuevo en la celda E4.
La fecha de inicio de cada semana, comenzando por la semana mostrada en la celda E4, comienza en la celda I4 y se calcula automáticamente. Hay 8 semanas representadas en esta vista desde la celda I4 hasta la celda BF4.
No debería modificar estas celdas.
La etiqueta de la semana para mostrar se encuentra en la celda C4.</t>
  </si>
  <si>
    <t>Las celdas I5 a BL5 contienen el número de días de la semana representado en el bloque de celdas encima de cada celda de fecha y se calculan automáticamente.
No debería modificar estas celdas.
La fecha actual está rodeada con una línea roja (hex. AD3815) desde la fecha actual en la fila 5 hasta toda la columna de fechas y el fin de la programación del proyecto.</t>
  </si>
  <si>
    <t>Esta fila contiene los encabezados de la programación del proyecto posterior debajo de estos. 
Navegue desde la celda B6 a BL 6 para escuchar el contenido. La primera letra de cada día de la semana de la fecha encima de ese encabezado empieza en la celda I6 y continúa hasta la celda BL6.
Todo el gráficos de escala de tiempo del proyecto está generados automáticamente en función de las fechas de inicio y finalización especificadas, con formatos condicionales.
No modifique el contenido de las celdas en las columnas después de la columna I comenzando por la celda I7.</t>
  </si>
  <si>
    <t xml:space="preserve">No elimine esta fila. Esta fila está oculta para conservar una fórmula que se usa para resaltar el día actual dentro de la programación del proyecto. </t>
  </si>
  <si>
    <t>La celda B8 contiene el título de ejemplo de la Fase 1. 
Escriba un nuevo título en la celda B8.
Escriba un nombre para asignar la fase, si se aplica para el proyecto, en la celda C8.
Escriba el progreso de la fase completa, si se aplica para el proyecto, en la celda D8.
Escriba las fechas de inicio y finalización de la fase completa, si se aplica para el proyecto, en las celdas E8 y F8. 
El gráfico de Gantt rellena automáticamente las fechas adecuadas y aplica un sombreado según el progreso especificado.
Para eliminar la fase y trabajar solo con las tareas, elimine esta fila.</t>
  </si>
  <si>
    <t xml:space="preserve">La celda B9 contiene la tarea de ejemplo "Tarea 1". 
Escriba un nuevo nombre de tarea en la celda B9.
Escriba una persona a la que asignar la tarea en la celda C9.
Escriba el progreso de la tarea en la celda D9. Aparece una barra de progreso en la celda y se sombrea según el número de la celda. Por ejemplo, un progreso del 50 por ciento aplicaría sombreado a la mitad de la celda.
Escriba la fecha de inicio de la tarea en la celda E9.
Escriba la fecha de finalización de la tarea en la celda F9.
Aparece una barra de estado con sombreado para las fechas especificadas en bloques comenzando desde la celda I9 hasta la BL9. </t>
  </si>
  <si>
    <t>Las filas de la 10 a la 13 repiten el patrón de la fila 9. 
Repita las instrucciones de la celda A9 para todas las filas de tareas en esta hoja de cálculo. Sobrescriba los datos de ejemplo.
Un ejemplo de otra fase empieza en la celda A14. 
Continue escribiendo tareas en las celdas de la A10 a la A13 o vaya a la celda A14 para obtener más información.</t>
  </si>
  <si>
    <t>La celda a la derecha contiene el título de ejemplo de la Fase 2. 
Puede crear una nueva fase en cualquier momento en la columna B. Esta programación de proyecto no necesita fases. Para quitar la fase, basta con eliminar la fila.
Para crear un bloque de fase nuevo en esta fila, escriba un nuevo título en la celda a la derecha.
Para continuar agregando tareas a la fase anterior, escriba una nueva fila encima de esta y rellene los datos de la tarea como se explica en la celda A9.
Actualice los detalles de la fase en la celda a la derecha como se explica en la celda A8.
Continúe navegando por las celdas de la columna A para obtener más información.
Si no ha agregado nuevas filas en esta hoja de cálculo, verá que se han creado automáticamente 2 bloques de fase de ejemplo adicionales en las celdas B20 y B26. En caso contrario, desplácese por las celdas de la columna A para buscar los bloques adicionales. 
Repita las instrucciones de las celdas A8 y A9 cuando lo necesite.</t>
  </si>
  <si>
    <t>Bloque de título fase de ejemplo</t>
  </si>
  <si>
    <t>Esta es una fila vacía.</t>
  </si>
  <si>
    <t>Esta fila indica el final de la programación del proyecto. NO escriba nada en esta fila. 
Inserte nuevas filas encima de ésta para continuar creando la programación del proyecto.</t>
  </si>
  <si>
    <t>Nombre de la compañía</t>
  </si>
  <si>
    <t>TAREA</t>
  </si>
  <si>
    <t>Tarea 5</t>
  </si>
  <si>
    <t>Inserte nuevas filas ENCIMA de ésta</t>
  </si>
  <si>
    <t>Inicio del proyecto:</t>
  </si>
  <si>
    <t>Semana para mostrar:</t>
  </si>
  <si>
    <t>PROGRESO</t>
  </si>
  <si>
    <t>INICIO</t>
  </si>
  <si>
    <t>FIN</t>
  </si>
  <si>
    <t>DÍAS</t>
  </si>
  <si>
    <r>
      <rPr>
        <b/>
        <sz val="14"/>
        <color theme="1"/>
        <rFont val="Calibri"/>
        <family val="2"/>
        <scheme val="minor"/>
      </rPr>
      <t xml:space="preserve">DIAGRAMA DE GANTT </t>
    </r>
    <r>
      <rPr>
        <sz val="11"/>
        <color theme="1"/>
        <rFont val="Calibri"/>
        <family val="2"/>
        <scheme val="minor"/>
      </rPr>
      <t xml:space="preserve"> </t>
    </r>
  </si>
  <si>
    <t>DocuEstudia</t>
  </si>
  <si>
    <t>Jose Miguel Alvarez Fagua</t>
  </si>
  <si>
    <t>Jose Miguel Alvarez</t>
  </si>
  <si>
    <t>Backend</t>
  </si>
  <si>
    <t>Frontend</t>
  </si>
  <si>
    <t>Error en Modificar</t>
  </si>
  <si>
    <t>Validar backend</t>
  </si>
  <si>
    <t>Revision de Querys</t>
  </si>
  <si>
    <t>Reasignar fotos</t>
  </si>
  <si>
    <t>Estructura Organización MCV</t>
  </si>
  <si>
    <t>Implementar Color</t>
  </si>
  <si>
    <t>Modificar diseño pagina</t>
  </si>
  <si>
    <t>responsive validar estructura</t>
  </si>
  <si>
    <t>Actualizar Datos Est</t>
  </si>
  <si>
    <t>forms/ManageStudent.php</t>
  </si>
  <si>
    <t>Crear Datos Est</t>
  </si>
  <si>
    <t>Ruta Archivo</t>
  </si>
  <si>
    <t>EXPLICACION PROGRESO</t>
  </si>
  <si>
    <t>Elimina y actualiza correctamente</t>
  </si>
  <si>
    <t>views/AnnotationTrigger.php</t>
  </si>
  <si>
    <t>CRUD Estudiante</t>
  </si>
  <si>
    <t>CRUD Profesor</t>
  </si>
  <si>
    <t>Editar Datos Prof</t>
  </si>
  <si>
    <t>Actualizar Datos Prof</t>
  </si>
  <si>
    <t>Eliminar Datos Prof</t>
  </si>
  <si>
    <t>Crear Datos Prof</t>
  </si>
  <si>
    <t>Eliminar Datos Est</t>
  </si>
  <si>
    <t>Trigger Prof</t>
  </si>
  <si>
    <t>models\TeacherModel.php</t>
  </si>
  <si>
    <t>Todo se encuentra en Teacher Model</t>
  </si>
  <si>
    <t>Guardado de Imágenes Prof</t>
  </si>
  <si>
    <t>CRUD Anotaciones</t>
  </si>
  <si>
    <t>Es un Procedure</t>
  </si>
  <si>
    <t>NO IMPLEMENTADO</t>
  </si>
  <si>
    <t>Revision de Permisos</t>
  </si>
  <si>
    <t>config/ProtectPages.php</t>
  </si>
  <si>
    <t>Revision Paginas General</t>
  </si>
  <si>
    <t>templates/HomeHeader.php</t>
  </si>
  <si>
    <t>Permiso paginas de Header</t>
  </si>
  <si>
    <t>Profesor</t>
  </si>
  <si>
    <t>Dejar campos vacios Guardado</t>
  </si>
  <si>
    <t>CRUD Insert New User</t>
  </si>
  <si>
    <t>Obligatorio</t>
  </si>
  <si>
    <t>Se crea bien con los foreing keys</t>
  </si>
  <si>
    <t>Crear Anotacion</t>
  </si>
  <si>
    <t>Eliminar Anotacion</t>
  </si>
  <si>
    <t>Editar Anotacion</t>
  </si>
  <si>
    <t>models/AnnotationsModel.php</t>
  </si>
  <si>
    <t>Se crea bien y funciona trigger</t>
  </si>
  <si>
    <t>Funciona Cambiar Archivo</t>
  </si>
  <si>
    <t>teacher/AnnotationsHistory.php</t>
  </si>
  <si>
    <t>Eliminar y actualiza tabla historial ope</t>
  </si>
  <si>
    <t>Trigger Anotaciones</t>
  </si>
  <si>
    <t>Funciona bien el trigger</t>
  </si>
  <si>
    <t>Permitir dejar campos vacios</t>
  </si>
  <si>
    <t>Juddy</t>
  </si>
  <si>
    <t>Asignacion de Permisos</t>
  </si>
  <si>
    <t>Crear en SQL la logica de otorgar permisos</t>
  </si>
  <si>
    <t>Esto es X Usuario</t>
  </si>
  <si>
    <t>Leer Datos Est</t>
  </si>
  <si>
    <t>Se leen correctamente</t>
  </si>
  <si>
    <t>Posible Error Cambio imagen</t>
  </si>
  <si>
    <t>StudentModel.php</t>
  </si>
  <si>
    <t>Cuando modificamos cedula no cambia imagen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</si>
</sst>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164" formatCode="_-* #,##0\ &quot;€&quot;_-;\-* #,##0\ &quot;€&quot;_-;_-* &quot;-&quot;\ &quot;€&quot;_-;_-@_-"/>
    <numFmt numFmtId="165" formatCode="_-* #,##0.00\ &quot;€&quot;_-;\-* #,##0.00\ &quot;€&quot;_-;_-* &quot;-&quot;??\ &quot;€&quot;_-;_-@_-"/>
    <numFmt numFmtId="166" formatCode="_(* #,##0_);_(* \(#,##0\);_(* &quot;-&quot;_);_(@_)"/>
    <numFmt numFmtId="167" formatCode="_(* #,##0.00_);_(* \(#,##0.00\);_(* &quot;-&quot;??_);_(@_)"/>
    <numFmt numFmtId="168" formatCode="m/d/yy;@"/>
    <numFmt numFmtId="169" formatCode="d\-m\-yy;@"/>
    <numFmt numFmtId="170" formatCode="ddd\,\ dd/mm/yyyy"/>
    <numFmt numFmtId="171" formatCode="mmm\ &quot;de&quot;\ yyyy"/>
    <numFmt numFmtId="172" formatCode="d"/>
  </numFmts>
  <fonts count="31"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9"/>
      <color theme="0"/>
      <name val="Calibri"/>
      <family val="2"/>
      <scheme val="minor"/>
    </font>
    <font>
      <b/>
      <sz val="14"/>
      <color theme="1"/>
      <name val="Calibri"/>
      <family val="2"/>
      <scheme val="minor"/>
    </font>
    <font>
      <u/>
      <sz val="11"/>
      <color theme="1"/>
      <name val="Calibri"/>
      <family val="2"/>
      <scheme val="minor"/>
    </font>
  </fonts>
  <fills count="46">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00B050"/>
        <bgColor indexed="64"/>
      </patternFill>
    </fill>
    <fill>
      <patternFill patternType="solid">
        <fgColor rgb="FF00B050"/>
        <bgColor theme="4"/>
      </patternFill>
    </fill>
    <fill>
      <patternFill patternType="solid">
        <fgColor theme="9" tint="0.79998168889431442"/>
        <bgColor indexed="64"/>
      </patternFill>
    </fill>
    <fill>
      <patternFill patternType="solid">
        <fgColor theme="9" tint="0.59999389629810485"/>
        <bgColor indexed="64"/>
      </patternFill>
    </fill>
  </fills>
  <borders count="17">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55">
    <xf numFmtId="0" fontId="0" fillId="0" borderId="0"/>
    <xf numFmtId="0" fontId="3" fillId="0" borderId="0" applyNumberFormat="0" applyFill="0" applyBorder="0" applyAlignment="0" applyProtection="0">
      <alignment vertical="top"/>
      <protection locked="0"/>
    </xf>
    <xf numFmtId="9" fontId="9" fillId="0" borderId="0" applyFont="0" applyFill="0" applyBorder="0" applyAlignment="0" applyProtection="0"/>
    <xf numFmtId="0" fontId="15" fillId="0" borderId="0"/>
    <xf numFmtId="167" fontId="9" fillId="0" borderId="3" applyFont="0" applyFill="0" applyAlignment="0" applyProtection="0"/>
    <xf numFmtId="0" fontId="12" fillId="0" borderId="0" applyNumberFormat="0" applyFill="0" applyBorder="0" applyAlignment="0" applyProtection="0"/>
    <xf numFmtId="0" fontId="10" fillId="0" borderId="0" applyNumberFormat="0" applyFill="0" applyAlignment="0" applyProtection="0"/>
    <xf numFmtId="0" fontId="10" fillId="0" borderId="0" applyNumberFormat="0" applyFill="0" applyProtection="0">
      <alignment vertical="top"/>
    </xf>
    <xf numFmtId="0" fontId="9" fillId="0" borderId="0" applyNumberFormat="0" applyFill="0" applyProtection="0">
      <alignment horizontal="right" indent="1"/>
    </xf>
    <xf numFmtId="170" fontId="9" fillId="0" borderId="3">
      <alignment horizontal="center" vertical="center"/>
    </xf>
    <xf numFmtId="168" fontId="9" fillId="0" borderId="2" applyFill="0">
      <alignment horizontal="center" vertical="center"/>
    </xf>
    <xf numFmtId="0" fontId="9" fillId="0" borderId="2" applyFill="0">
      <alignment horizontal="center" vertical="center"/>
    </xf>
    <xf numFmtId="0" fontId="9" fillId="0" borderId="2" applyFill="0">
      <alignment horizontal="left" vertical="center" indent="2"/>
    </xf>
    <xf numFmtId="0" fontId="16" fillId="0" borderId="0" applyNumberFormat="0" applyFill="0" applyBorder="0" applyAlignment="0" applyProtection="0"/>
    <xf numFmtId="166" fontId="9" fillId="0" borderId="0" applyFont="0" applyFill="0" applyBorder="0" applyAlignment="0" applyProtection="0"/>
    <xf numFmtId="165" fontId="9" fillId="0" borderId="0" applyFont="0" applyFill="0" applyBorder="0" applyAlignment="0" applyProtection="0"/>
    <xf numFmtId="164" fontId="9" fillId="0" borderId="0" applyFont="0" applyFill="0" applyBorder="0" applyAlignment="0" applyProtection="0"/>
    <xf numFmtId="0" fontId="17" fillId="0" borderId="0" applyNumberFormat="0" applyFill="0" applyBorder="0" applyAlignment="0" applyProtection="0"/>
    <xf numFmtId="0" fontId="18" fillId="11" borderId="0" applyNumberFormat="0" applyBorder="0" applyAlignment="0" applyProtection="0"/>
    <xf numFmtId="0" fontId="19" fillId="12" borderId="0" applyNumberFormat="0" applyBorder="0" applyAlignment="0" applyProtection="0"/>
    <xf numFmtId="0" fontId="20" fillId="13" borderId="0" applyNumberFormat="0" applyBorder="0" applyAlignment="0" applyProtection="0"/>
    <xf numFmtId="0" fontId="21" fillId="14" borderId="11" applyNumberFormat="0" applyAlignment="0" applyProtection="0"/>
    <xf numFmtId="0" fontId="22" fillId="15" borderId="12" applyNumberFormat="0" applyAlignment="0" applyProtection="0"/>
    <xf numFmtId="0" fontId="23" fillId="15" borderId="11" applyNumberFormat="0" applyAlignment="0" applyProtection="0"/>
    <xf numFmtId="0" fontId="24" fillId="0" borderId="13" applyNumberFormat="0" applyFill="0" applyAlignment="0" applyProtection="0"/>
    <xf numFmtId="0" fontId="25" fillId="16" borderId="14" applyNumberFormat="0" applyAlignment="0" applyProtection="0"/>
    <xf numFmtId="0" fontId="26" fillId="0" borderId="0" applyNumberFormat="0" applyFill="0" applyBorder="0" applyAlignment="0" applyProtection="0"/>
    <xf numFmtId="0" fontId="9" fillId="17" borderId="15" applyNumberFormat="0" applyFont="0" applyAlignment="0" applyProtection="0"/>
    <xf numFmtId="0" fontId="27" fillId="0" borderId="0" applyNumberFormat="0" applyFill="0" applyBorder="0" applyAlignment="0" applyProtection="0"/>
    <xf numFmtId="0" fontId="6" fillId="0" borderId="16" applyNumberFormat="0" applyFill="0" applyAlignment="0" applyProtection="0"/>
    <xf numFmtId="0" fontId="15" fillId="18" borderId="0" applyNumberFormat="0" applyBorder="0" applyAlignment="0" applyProtection="0"/>
    <xf numFmtId="0" fontId="9" fillId="19" borderId="0" applyNumberFormat="0" applyBorder="0" applyAlignment="0" applyProtection="0"/>
    <xf numFmtId="0" fontId="9" fillId="20" borderId="0" applyNumberFormat="0" applyBorder="0" applyAlignment="0" applyProtection="0"/>
    <xf numFmtId="0" fontId="9" fillId="21" borderId="0" applyNumberFormat="0" applyBorder="0" applyAlignment="0" applyProtection="0"/>
    <xf numFmtId="0" fontId="15" fillId="22" borderId="0" applyNumberFormat="0" applyBorder="0" applyAlignment="0" applyProtection="0"/>
    <xf numFmtId="0" fontId="9" fillId="23" borderId="0" applyNumberFormat="0" applyBorder="0" applyAlignment="0" applyProtection="0"/>
    <xf numFmtId="0" fontId="9" fillId="24" borderId="0" applyNumberFormat="0" applyBorder="0" applyAlignment="0" applyProtection="0"/>
    <xf numFmtId="0" fontId="9" fillId="25" borderId="0" applyNumberFormat="0" applyBorder="0" applyAlignment="0" applyProtection="0"/>
    <xf numFmtId="0" fontId="15" fillId="26" borderId="0" applyNumberFormat="0" applyBorder="0" applyAlignment="0" applyProtection="0"/>
    <xf numFmtId="0" fontId="9" fillId="27" borderId="0" applyNumberFormat="0" applyBorder="0" applyAlignment="0" applyProtection="0"/>
    <xf numFmtId="0" fontId="9" fillId="28" borderId="0" applyNumberFormat="0" applyBorder="0" applyAlignment="0" applyProtection="0"/>
    <xf numFmtId="0" fontId="9" fillId="29" borderId="0" applyNumberFormat="0" applyBorder="0" applyAlignment="0" applyProtection="0"/>
    <xf numFmtId="0" fontId="15" fillId="30" borderId="0" applyNumberFormat="0" applyBorder="0" applyAlignment="0" applyProtection="0"/>
    <xf numFmtId="0" fontId="9" fillId="31" borderId="0" applyNumberFormat="0" applyBorder="0" applyAlignment="0" applyProtection="0"/>
    <xf numFmtId="0" fontId="9" fillId="32" borderId="0" applyNumberFormat="0" applyBorder="0" applyAlignment="0" applyProtection="0"/>
    <xf numFmtId="0" fontId="9" fillId="33" borderId="0" applyNumberFormat="0" applyBorder="0" applyAlignment="0" applyProtection="0"/>
    <xf numFmtId="0" fontId="15" fillId="34" borderId="0" applyNumberFormat="0" applyBorder="0" applyAlignment="0" applyProtection="0"/>
    <xf numFmtId="0" fontId="9" fillId="35" borderId="0" applyNumberFormat="0" applyBorder="0" applyAlignment="0" applyProtection="0"/>
    <xf numFmtId="0" fontId="9" fillId="36" borderId="0" applyNumberFormat="0" applyBorder="0" applyAlignment="0" applyProtection="0"/>
    <xf numFmtId="0" fontId="9" fillId="37" borderId="0" applyNumberFormat="0" applyBorder="0" applyAlignment="0" applyProtection="0"/>
    <xf numFmtId="0" fontId="15" fillId="38" borderId="0" applyNumberFormat="0" applyBorder="0" applyAlignment="0" applyProtection="0"/>
    <xf numFmtId="0" fontId="9" fillId="39" borderId="0" applyNumberFormat="0" applyBorder="0" applyAlignment="0" applyProtection="0"/>
    <xf numFmtId="0" fontId="9" fillId="40" borderId="0" applyNumberFormat="0" applyBorder="0" applyAlignment="0" applyProtection="0"/>
    <xf numFmtId="0" fontId="9" fillId="41" borderId="0" applyNumberFormat="0" applyBorder="0" applyAlignment="0" applyProtection="0"/>
    <xf numFmtId="0" fontId="9" fillId="0" borderId="0"/>
  </cellStyleXfs>
  <cellXfs count="96">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13" fillId="0" borderId="0" xfId="0" applyFont="1"/>
    <xf numFmtId="0" fontId="14" fillId="0" borderId="0" xfId="1" applyFont="1" applyAlignment="1" applyProtection="1"/>
    <xf numFmtId="9" fontId="5" fillId="0" borderId="2" xfId="2" applyFont="1" applyBorder="1" applyAlignment="1">
      <alignment horizontal="center" vertical="center"/>
    </xf>
    <xf numFmtId="0" fontId="5" fillId="0" borderId="2" xfId="0" applyFont="1" applyBorder="1" applyAlignment="1">
      <alignment horizontal="center" vertical="center"/>
    </xf>
    <xf numFmtId="0" fontId="6" fillId="7" borderId="2" xfId="0" applyFont="1" applyFill="1" applyBorder="1" applyAlignment="1">
      <alignment horizontal="left" vertical="center" indent="1"/>
    </xf>
    <xf numFmtId="9" fontId="5" fillId="7" borderId="2" xfId="2" applyFont="1" applyFill="1" applyBorder="1" applyAlignment="1">
      <alignment horizontal="center" vertical="center"/>
    </xf>
    <xf numFmtId="9" fontId="5" fillId="3" borderId="2" xfId="2" applyFont="1" applyFill="1" applyBorder="1" applyAlignment="1">
      <alignment horizontal="center" vertical="center"/>
    </xf>
    <xf numFmtId="0" fontId="6" fillId="8" borderId="2" xfId="0" applyFont="1" applyFill="1" applyBorder="1" applyAlignment="1">
      <alignment horizontal="left" vertical="center" indent="1"/>
    </xf>
    <xf numFmtId="9" fontId="5" fillId="8" borderId="2" xfId="2" applyFont="1" applyFill="1" applyBorder="1" applyAlignment="1">
      <alignment horizontal="center" vertical="center"/>
    </xf>
    <xf numFmtId="9" fontId="5" fillId="4" borderId="2" xfId="2" applyFont="1" applyFill="1" applyBorder="1" applyAlignment="1">
      <alignment horizontal="center" vertical="center"/>
    </xf>
    <xf numFmtId="0" fontId="6" fillId="6" borderId="2" xfId="0" applyFont="1" applyFill="1" applyBorder="1" applyAlignment="1">
      <alignment horizontal="left" vertical="center" indent="1"/>
    </xf>
    <xf numFmtId="9" fontId="5" fillId="6" borderId="2" xfId="2" applyFont="1" applyFill="1" applyBorder="1" applyAlignment="1">
      <alignment horizontal="center" vertical="center"/>
    </xf>
    <xf numFmtId="9" fontId="5" fillId="10" borderId="2" xfId="2" applyFont="1" applyFill="1" applyBorder="1" applyAlignment="1">
      <alignment horizontal="center" vertical="center"/>
    </xf>
    <xf numFmtId="0" fontId="6" fillId="5" borderId="2" xfId="0" applyFont="1" applyFill="1" applyBorder="1" applyAlignment="1">
      <alignment horizontal="left" vertical="center" indent="1"/>
    </xf>
    <xf numFmtId="9" fontId="5" fillId="5" borderId="2" xfId="2" applyFont="1" applyFill="1" applyBorder="1" applyAlignment="1">
      <alignment horizontal="center" vertical="center"/>
    </xf>
    <xf numFmtId="9" fontId="5" fillId="9" borderId="2" xfId="2" applyFont="1" applyFill="1" applyBorder="1" applyAlignment="1">
      <alignment horizontal="center" vertical="center"/>
    </xf>
    <xf numFmtId="0" fontId="8" fillId="2" borderId="2" xfId="0" applyFont="1" applyFill="1" applyBorder="1" applyAlignment="1">
      <alignment horizontal="left" vertical="center" indent="1"/>
    </xf>
    <xf numFmtId="0" fontId="8" fillId="2" borderId="2" xfId="0" applyFont="1" applyFill="1" applyBorder="1" applyAlignment="1">
      <alignment horizontal="center" vertical="center"/>
    </xf>
    <xf numFmtId="9" fontId="5" fillId="2" borderId="2" xfId="2" applyFont="1" applyFill="1" applyBorder="1" applyAlignment="1">
      <alignment horizontal="center" vertical="center"/>
    </xf>
    <xf numFmtId="0" fontId="5"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15" fillId="0" borderId="0" xfId="3"/>
    <xf numFmtId="0" fontId="15" fillId="0" borderId="0" xfId="3" applyAlignment="1">
      <alignment wrapText="1"/>
    </xf>
    <xf numFmtId="0" fontId="15" fillId="0" borderId="0" xfId="0" applyFont="1" applyAlignment="1">
      <alignment horizontal="center"/>
    </xf>
    <xf numFmtId="0" fontId="14" fillId="0" borderId="0" xfId="1" applyFont="1" applyProtection="1">
      <alignment vertical="top"/>
    </xf>
    <xf numFmtId="0" fontId="0" fillId="0" borderId="0" xfId="0" applyAlignment="1">
      <alignment wrapText="1"/>
    </xf>
    <xf numFmtId="0" fontId="9" fillId="7" borderId="2" xfId="11" applyFill="1">
      <alignment horizontal="center" vertical="center"/>
    </xf>
    <xf numFmtId="0" fontId="9" fillId="3" borderId="2" xfId="11" applyFill="1">
      <alignment horizontal="center" vertical="center"/>
    </xf>
    <xf numFmtId="0" fontId="9" fillId="8" borderId="2" xfId="11" applyFill="1">
      <alignment horizontal="center" vertical="center"/>
    </xf>
    <xf numFmtId="0" fontId="9" fillId="4" borderId="2" xfId="11" applyFill="1">
      <alignment horizontal="center" vertical="center"/>
    </xf>
    <xf numFmtId="0" fontId="9" fillId="6" borderId="2" xfId="11" applyFill="1">
      <alignment horizontal="center" vertical="center"/>
    </xf>
    <xf numFmtId="0" fontId="9" fillId="10" borderId="2" xfId="11" applyFill="1">
      <alignment horizontal="center" vertical="center"/>
    </xf>
    <xf numFmtId="0" fontId="9" fillId="5" borderId="2" xfId="11" applyFill="1">
      <alignment horizontal="center" vertical="center"/>
    </xf>
    <xf numFmtId="0" fontId="9" fillId="9" borderId="2" xfId="11" applyFill="1">
      <alignment horizontal="center" vertical="center"/>
    </xf>
    <xf numFmtId="0" fontId="9" fillId="0" borderId="2" xfId="11">
      <alignment horizontal="center" vertical="center"/>
    </xf>
    <xf numFmtId="0" fontId="9" fillId="3" borderId="2" xfId="12" applyFill="1">
      <alignment horizontal="left" vertical="center" indent="2"/>
    </xf>
    <xf numFmtId="0" fontId="9" fillId="4" borderId="2" xfId="12" applyFill="1">
      <alignment horizontal="left" vertical="center" indent="2"/>
    </xf>
    <xf numFmtId="0" fontId="9" fillId="10" borderId="2" xfId="12" applyFill="1">
      <alignment horizontal="left" vertical="center" indent="2"/>
    </xf>
    <xf numFmtId="0" fontId="9" fillId="9" borderId="2" xfId="12" applyFill="1">
      <alignment horizontal="left" vertical="center" indent="2"/>
    </xf>
    <xf numFmtId="0" fontId="9" fillId="0" borderId="2" xfId="12">
      <alignment horizontal="left" vertical="center" indent="2"/>
    </xf>
    <xf numFmtId="169" fontId="0" fillId="7" borderId="2" xfId="0" applyNumberFormat="1" applyFill="1" applyBorder="1" applyAlignment="1">
      <alignment horizontal="center" vertical="center"/>
    </xf>
    <xf numFmtId="169" fontId="5" fillId="7" borderId="2" xfId="0" applyNumberFormat="1" applyFont="1" applyFill="1" applyBorder="1" applyAlignment="1">
      <alignment horizontal="center" vertical="center"/>
    </xf>
    <xf numFmtId="169" fontId="9" fillId="3" borderId="2" xfId="10" applyNumberFormat="1" applyFill="1">
      <alignment horizontal="center" vertical="center"/>
    </xf>
    <xf numFmtId="169" fontId="0" fillId="8" borderId="2" xfId="0" applyNumberFormat="1" applyFill="1" applyBorder="1" applyAlignment="1">
      <alignment horizontal="center" vertical="center"/>
    </xf>
    <xf numFmtId="169" fontId="5" fillId="8" borderId="2" xfId="0" applyNumberFormat="1" applyFont="1" applyFill="1" applyBorder="1" applyAlignment="1">
      <alignment horizontal="center" vertical="center"/>
    </xf>
    <xf numFmtId="169" fontId="9" fillId="4" borderId="2" xfId="10" applyNumberFormat="1" applyFill="1">
      <alignment horizontal="center" vertical="center"/>
    </xf>
    <xf numFmtId="169" fontId="0" fillId="6" borderId="2" xfId="0" applyNumberFormat="1" applyFill="1" applyBorder="1" applyAlignment="1">
      <alignment horizontal="center" vertical="center"/>
    </xf>
    <xf numFmtId="169" fontId="5" fillId="6" borderId="2" xfId="0" applyNumberFormat="1" applyFont="1" applyFill="1" applyBorder="1" applyAlignment="1">
      <alignment horizontal="center" vertical="center"/>
    </xf>
    <xf numFmtId="169" fontId="9" fillId="10" borderId="2" xfId="10" applyNumberFormat="1" applyFill="1">
      <alignment horizontal="center" vertical="center"/>
    </xf>
    <xf numFmtId="169" fontId="0" fillId="5" borderId="2" xfId="0" applyNumberFormat="1" applyFill="1" applyBorder="1" applyAlignment="1">
      <alignment horizontal="center" vertical="center"/>
    </xf>
    <xf numFmtId="169" fontId="5" fillId="5" borderId="2" xfId="0" applyNumberFormat="1" applyFont="1" applyFill="1" applyBorder="1" applyAlignment="1">
      <alignment horizontal="center" vertical="center"/>
    </xf>
    <xf numFmtId="169" fontId="9" fillId="9" borderId="2" xfId="10" applyNumberFormat="1" applyFill="1">
      <alignment horizontal="center" vertical="center"/>
    </xf>
    <xf numFmtId="169" fontId="9" fillId="0" borderId="2" xfId="10" applyNumberFormat="1">
      <alignment horizontal="center" vertical="center"/>
    </xf>
    <xf numFmtId="169" fontId="4" fillId="2" borderId="2" xfId="0" applyNumberFormat="1" applyFont="1" applyFill="1" applyBorder="1" applyAlignment="1">
      <alignment horizontal="left" vertical="center"/>
    </xf>
    <xf numFmtId="169" fontId="5" fillId="2" borderId="2" xfId="0" applyNumberFormat="1" applyFont="1" applyFill="1" applyBorder="1" applyAlignment="1">
      <alignment horizontal="center" vertical="center"/>
    </xf>
    <xf numFmtId="0" fontId="0" fillId="0" borderId="0" xfId="0" applyFill="1"/>
    <xf numFmtId="0" fontId="7" fillId="43" borderId="1" xfId="0" applyFont="1" applyFill="1" applyBorder="1" applyAlignment="1">
      <alignment horizontal="left" vertical="center" indent="1"/>
    </xf>
    <xf numFmtId="0" fontId="7" fillId="43" borderId="1" xfId="0" applyFont="1" applyFill="1" applyBorder="1" applyAlignment="1">
      <alignment horizontal="center" vertical="center" wrapText="1"/>
    </xf>
    <xf numFmtId="0" fontId="11" fillId="42" borderId="8" xfId="0" applyFont="1" applyFill="1" applyBorder="1" applyAlignment="1">
      <alignment horizontal="center" vertical="center" shrinkToFit="1"/>
    </xf>
    <xf numFmtId="172" fontId="28" fillId="42" borderId="6" xfId="0" applyNumberFormat="1" applyFont="1" applyFill="1" applyBorder="1" applyAlignment="1">
      <alignment horizontal="center" vertical="center"/>
    </xf>
    <xf numFmtId="172" fontId="28" fillId="42" borderId="0" xfId="0" applyNumberFormat="1" applyFont="1" applyFill="1" applyAlignment="1">
      <alignment horizontal="center" vertical="center"/>
    </xf>
    <xf numFmtId="172" fontId="28" fillId="42" borderId="7" xfId="0" applyNumberFormat="1" applyFont="1" applyFill="1" applyBorder="1" applyAlignment="1">
      <alignment horizontal="center" vertical="center"/>
    </xf>
    <xf numFmtId="0" fontId="30" fillId="0" borderId="9" xfId="0" applyFont="1" applyBorder="1" applyAlignment="1">
      <alignment vertical="center"/>
    </xf>
    <xf numFmtId="0" fontId="9" fillId="5" borderId="2" xfId="11" applyFill="1" applyAlignment="1">
      <alignment horizontal="left" vertical="center"/>
    </xf>
    <xf numFmtId="0" fontId="9" fillId="4" borderId="2" xfId="12" applyFont="1" applyFill="1">
      <alignment horizontal="left" vertical="center" indent="2"/>
    </xf>
    <xf numFmtId="0" fontId="9" fillId="44" borderId="2" xfId="12" applyFill="1">
      <alignment horizontal="left" vertical="center" indent="2"/>
    </xf>
    <xf numFmtId="0" fontId="9" fillId="44" borderId="2" xfId="11" applyFill="1">
      <alignment horizontal="center" vertical="center"/>
    </xf>
    <xf numFmtId="9" fontId="5" fillId="44" borderId="2" xfId="2" applyFont="1" applyFill="1" applyBorder="1" applyAlignment="1">
      <alignment horizontal="center" vertical="center"/>
    </xf>
    <xf numFmtId="169" fontId="9" fillId="44" borderId="2" xfId="10" applyNumberFormat="1" applyFill="1">
      <alignment horizontal="center" vertical="center"/>
    </xf>
    <xf numFmtId="0" fontId="6" fillId="45" borderId="2" xfId="0" applyFont="1" applyFill="1" applyBorder="1" applyAlignment="1">
      <alignment horizontal="left" vertical="center" indent="1"/>
    </xf>
    <xf numFmtId="0" fontId="9" fillId="45" borderId="2" xfId="11" applyFill="1">
      <alignment horizontal="center" vertical="center"/>
    </xf>
    <xf numFmtId="9" fontId="5" fillId="45" borderId="2" xfId="2" applyFont="1" applyFill="1" applyBorder="1" applyAlignment="1">
      <alignment horizontal="center" vertical="center"/>
    </xf>
    <xf numFmtId="169" fontId="0" fillId="45" borderId="2" xfId="0" applyNumberFormat="1" applyFill="1" applyBorder="1" applyAlignment="1">
      <alignment horizontal="center" vertical="center"/>
    </xf>
    <xf numFmtId="169" fontId="5" fillId="45" borderId="2" xfId="0" applyNumberFormat="1" applyFont="1" applyFill="1" applyBorder="1" applyAlignment="1">
      <alignment horizontal="center" vertical="center"/>
    </xf>
    <xf numFmtId="0" fontId="10" fillId="0" borderId="0" xfId="6" applyAlignment="1">
      <alignment horizontal="left" vertical="center"/>
    </xf>
    <xf numFmtId="0" fontId="10" fillId="0" borderId="0" xfId="7" applyAlignment="1">
      <alignment horizontal="left" vertical="center"/>
    </xf>
    <xf numFmtId="0" fontId="12" fillId="0" borderId="0" xfId="5" applyFont="1" applyAlignment="1">
      <alignment horizontal="left" vertical="center"/>
    </xf>
    <xf numFmtId="0" fontId="6" fillId="10" borderId="2" xfId="12" applyFont="1" applyFill="1">
      <alignment horizontal="left" vertical="center" indent="2"/>
    </xf>
    <xf numFmtId="0" fontId="9" fillId="0" borderId="0" xfId="8">
      <alignment horizontal="right" indent="1"/>
    </xf>
    <xf numFmtId="0" fontId="9" fillId="0" borderId="7" xfId="8" applyBorder="1">
      <alignment horizontal="right" indent="1"/>
    </xf>
    <xf numFmtId="0" fontId="0" fillId="0" borderId="10" xfId="0" applyBorder="1"/>
    <xf numFmtId="171" fontId="15" fillId="42" borderId="4" xfId="0" applyNumberFormat="1" applyFont="1" applyFill="1" applyBorder="1" applyAlignment="1">
      <alignment horizontal="left" vertical="center" wrapText="1" indent="1"/>
    </xf>
    <xf numFmtId="171" fontId="15" fillId="42" borderId="1" xfId="0" applyNumberFormat="1" applyFont="1" applyFill="1" applyBorder="1" applyAlignment="1">
      <alignment horizontal="left" vertical="center" wrapText="1" indent="1"/>
    </xf>
    <xf numFmtId="171" fontId="15" fillId="42" borderId="5" xfId="0" applyNumberFormat="1" applyFont="1" applyFill="1" applyBorder="1" applyAlignment="1">
      <alignment horizontal="left" vertical="center" wrapText="1" indent="1"/>
    </xf>
    <xf numFmtId="170" fontId="9" fillId="0" borderId="3" xfId="9" applyNumberFormat="1">
      <alignment horizontal="center" vertical="center"/>
    </xf>
  </cellXfs>
  <cellStyles count="55">
    <cellStyle name="20% - Énfasis1" xfId="31" builtinId="30" customBuiltin="1"/>
    <cellStyle name="20% - Énfasis2" xfId="35" builtinId="34" customBuiltin="1"/>
    <cellStyle name="20% - Énfasis3" xfId="39" builtinId="38" customBuiltin="1"/>
    <cellStyle name="20% - Énfasis4" xfId="43" builtinId="42" customBuiltin="1"/>
    <cellStyle name="20% - Énfasis5" xfId="47" builtinId="46" customBuiltin="1"/>
    <cellStyle name="20% - Énfasis6" xfId="51" builtinId="50" customBuiltin="1"/>
    <cellStyle name="40% - Énfasis1" xfId="32" builtinId="31" customBuiltin="1"/>
    <cellStyle name="40% - Énfasis2" xfId="36" builtinId="35" customBuiltin="1"/>
    <cellStyle name="40% - Énfasis3" xfId="40" builtinId="39" customBuiltin="1"/>
    <cellStyle name="40% - Énfasis4" xfId="44" builtinId="43" customBuiltin="1"/>
    <cellStyle name="40% - Énfasis5" xfId="48" builtinId="47" customBuiltin="1"/>
    <cellStyle name="40% - Énfasis6" xfId="52" builtinId="51" customBuiltin="1"/>
    <cellStyle name="60% - Énfasis1" xfId="33" builtinId="32" customBuiltin="1"/>
    <cellStyle name="60% - Énfasis2" xfId="37" builtinId="36" customBuiltin="1"/>
    <cellStyle name="60% - Énfasis3" xfId="41" builtinId="40" customBuiltin="1"/>
    <cellStyle name="60% - Énfasis4" xfId="45" builtinId="44" customBuiltin="1"/>
    <cellStyle name="60% - Énfasis5" xfId="49" builtinId="48" customBuiltin="1"/>
    <cellStyle name="60% - Énfasis6" xfId="53" builtinId="52" customBuiltin="1"/>
    <cellStyle name="Bueno" xfId="18" builtinId="26" customBuiltin="1"/>
    <cellStyle name="Cálculo" xfId="23" builtinId="22" customBuiltin="1"/>
    <cellStyle name="Celda de comprobación" xfId="25" builtinId="23" customBuiltin="1"/>
    <cellStyle name="Celda vinculada" xfId="24" builtinId="24" customBuiltin="1"/>
    <cellStyle name="Encabezado 1" xfId="6" builtinId="16" customBuiltin="1"/>
    <cellStyle name="Encabezado 4" xfId="17" builtinId="19" customBuiltin="1"/>
    <cellStyle name="Énfasis1" xfId="30" builtinId="29" customBuiltin="1"/>
    <cellStyle name="Énfasis2" xfId="34" builtinId="33" customBuiltin="1"/>
    <cellStyle name="Énfasis3" xfId="38" builtinId="37" customBuiltin="1"/>
    <cellStyle name="Énfasis4" xfId="42" builtinId="41" customBuiltin="1"/>
    <cellStyle name="Énfasis5" xfId="46" builtinId="45" customBuiltin="1"/>
    <cellStyle name="Énfasis6" xfId="50" builtinId="49" customBuiltin="1"/>
    <cellStyle name="Entrada" xfId="21" builtinId="20" customBuiltin="1"/>
    <cellStyle name="Fecha" xfId="10" xr:uid="{00000000-0005-0000-0000-00001E000000}"/>
    <cellStyle name="Hipervínculo" xfId="1" builtinId="8" customBuiltin="1"/>
    <cellStyle name="Hipervínculo visitado" xfId="13" builtinId="9" customBuiltin="1"/>
    <cellStyle name="Incorrecto" xfId="19" builtinId="27" customBuiltin="1"/>
    <cellStyle name="Inicio del proyecto" xfId="9" xr:uid="{00000000-0005-0000-0000-000022000000}"/>
    <cellStyle name="Millares" xfId="4" builtinId="3" customBuiltin="1"/>
    <cellStyle name="Millares [0]" xfId="14" builtinId="6" customBuiltin="1"/>
    <cellStyle name="Moneda" xfId="15" builtinId="4" customBuiltin="1"/>
    <cellStyle name="Moneda [0]" xfId="16" builtinId="7" customBuiltin="1"/>
    <cellStyle name="Neutral" xfId="20" builtinId="28" customBuiltin="1"/>
    <cellStyle name="Nombre" xfId="11" xr:uid="{00000000-0005-0000-0000-000028000000}"/>
    <cellStyle name="Normal" xfId="0" builtinId="0" customBuiltin="1"/>
    <cellStyle name="Normal 2 2 2" xfId="54" xr:uid="{00000000-0005-0000-0000-00002A000000}"/>
    <cellStyle name="Notas" xfId="27" builtinId="10" customBuiltin="1"/>
    <cellStyle name="Porcentaje" xfId="2" builtinId="5" customBuiltin="1"/>
    <cellStyle name="Salida" xfId="22" builtinId="21" customBuiltin="1"/>
    <cellStyle name="Tarea" xfId="12" xr:uid="{00000000-0005-0000-0000-00002E000000}"/>
    <cellStyle name="Texto de advertencia" xfId="26" builtinId="11" customBuiltin="1"/>
    <cellStyle name="Texto explicativo" xfId="28" builtinId="53" customBuiltin="1"/>
    <cellStyle name="Título" xfId="5" builtinId="15" customBuiltin="1"/>
    <cellStyle name="Título 2" xfId="7" builtinId="17" customBuiltin="1"/>
    <cellStyle name="Título 3" xfId="8" builtinId="18" customBuiltin="1"/>
    <cellStyle name="Total" xfId="29" builtinId="25" customBuiltin="1"/>
    <cellStyle name="zTextoOculto" xfId="3" xr:uid="{00000000-0005-0000-0000-000036000000}"/>
  </cellStyles>
  <dxfs count="12">
    <dxf>
      <fill>
        <patternFill>
          <bgColor rgb="FF00B0F0"/>
        </patternFill>
      </fill>
      <border>
        <left/>
        <right/>
      </border>
    </dxf>
    <dxf>
      <fill>
        <patternFill>
          <bgColor rgb="FF00B050"/>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TareasPendientes" pivot="0" count="9" xr9:uid="{00000000-0011-0000-FFFF-FFFF00000000}">
      <tableStyleElement type="wholeTable" dxfId="11"/>
      <tableStyleElement type="headerRow" dxfId="10"/>
      <tableStyleElement type="totalRow" dxfId="9"/>
      <tableStyleElement type="firstColumn" dxfId="8"/>
      <tableStyleElement type="lastColumn" dxfId="7"/>
      <tableStyleElement type="firstRowStripe" dxfId="6"/>
      <tableStyleElement type="secondRowStripe" dxfId="5"/>
      <tableStyleElement type="firstColumnStripe" dxfId="4"/>
      <tableStyleElement type="secondColumnStripe" dxfId="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externalLink" Target="externalLinks/externalLink2.xml"/><Relationship Id="rId7" Type="http://schemas.openxmlformats.org/officeDocument/2006/relationships/sharedStrings" Target="sharedStrings.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G:\imagenes\plantillas\Libro-diario-excel.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Aneudy/Pictures/plantillas/Hoja%20de%20balance.xlsx"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Disclaimer-Smartsheet-Templates_Solution1-Tab5"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IARIO"/>
      <sheetName val="MAYOR"/>
      <sheetName val="BALANCE"/>
      <sheetName val="RESULTADO"/>
    </sheetNames>
    <sheetDataSet>
      <sheetData sheetId="0">
        <row r="12">
          <cell r="C12" t="str">
            <v>1.1.1.01</v>
          </cell>
          <cell r="F12">
            <v>5000</v>
          </cell>
        </row>
        <row r="13">
          <cell r="C13" t="str">
            <v>4.1.1.01</v>
          </cell>
          <cell r="G13">
            <v>5000</v>
          </cell>
        </row>
        <row r="14">
          <cell r="C14" t="str">
            <v>5.1.1.1</v>
          </cell>
          <cell r="F14">
            <v>4000</v>
          </cell>
        </row>
        <row r="15">
          <cell r="C15" t="str">
            <v>1.1.4.01</v>
          </cell>
          <cell r="G15">
            <v>4000</v>
          </cell>
        </row>
      </sheetData>
      <sheetData sheetId="1"/>
      <sheetData sheetId="2"/>
      <sheetData sheetId="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LANCE"/>
      <sheetName val="DESCARGA DE RESPONSABILIDAD"/>
    </sheetNames>
    <sheetDataSet>
      <sheetData sheetId="0"/>
      <sheetData sheetId="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intenance Work Order"/>
      <sheetName val="BLANK - Maintenance Work Order "/>
      <sheetName val="- Disclaimer -"/>
    </sheetNames>
    <sheetDataSet>
      <sheetData sheetId="0"/>
      <sheetData sheetId="1" refreshError="1"/>
      <sheetData sheetId="2" refreshError="1"/>
    </sheetDataSet>
  </externalBook>
</externalLink>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M47"/>
  <sheetViews>
    <sheetView showGridLines="0" tabSelected="1" showRuler="0" topLeftCell="A23" zoomScale="115" zoomScaleNormal="115" zoomScalePageLayoutView="70" workbookViewId="0">
      <selection activeCell="C30" sqref="C30"/>
    </sheetView>
  </sheetViews>
  <sheetFormatPr baseColWidth="10" defaultColWidth="9.140625" defaultRowHeight="30" customHeight="1" x14ac:dyDescent="0.25"/>
  <cols>
    <col min="1" max="1" width="2.7109375" style="32" customWidth="1"/>
    <col min="2" max="2" width="30.5703125" customWidth="1"/>
    <col min="3" max="3" width="34.5703125" customWidth="1"/>
    <col min="4" max="4" width="34.85546875" customWidth="1"/>
    <col min="5" max="5" width="13" customWidth="1"/>
    <col min="6" max="6" width="10.42578125" style="5" customWidth="1"/>
    <col min="7" max="7" width="10.42578125" customWidth="1"/>
    <col min="8" max="8" width="2.7109375" customWidth="1"/>
    <col min="9" max="9" width="6.140625" hidden="1" customWidth="1"/>
    <col min="10" max="26" width="2.5703125" customWidth="1"/>
    <col min="27" max="27" width="3" customWidth="1"/>
    <col min="28" max="65" width="2.5703125" customWidth="1"/>
    <col min="70" max="71" width="10.28515625"/>
  </cols>
  <sheetData>
    <row r="1" spans="1:65" ht="30" customHeight="1" x14ac:dyDescent="0.4">
      <c r="A1" s="33" t="s">
        <v>0</v>
      </c>
      <c r="B1" s="87" t="s">
        <v>25</v>
      </c>
      <c r="C1" s="1"/>
      <c r="D1" s="1"/>
      <c r="E1" s="2"/>
      <c r="F1" s="4"/>
      <c r="G1" s="31"/>
      <c r="I1" s="2"/>
      <c r="J1" s="66" t="s">
        <v>24</v>
      </c>
    </row>
    <row r="2" spans="1:65" ht="30" customHeight="1" x14ac:dyDescent="0.25">
      <c r="A2" s="32" t="s">
        <v>1</v>
      </c>
      <c r="B2" s="85" t="s">
        <v>14</v>
      </c>
      <c r="J2" s="35"/>
    </row>
    <row r="3" spans="1:65" ht="30" customHeight="1" x14ac:dyDescent="0.25">
      <c r="A3" s="32" t="s">
        <v>2</v>
      </c>
      <c r="B3" s="86" t="s">
        <v>26</v>
      </c>
      <c r="C3" s="89" t="s">
        <v>18</v>
      </c>
      <c r="D3" s="89"/>
      <c r="E3" s="90"/>
      <c r="F3" s="95">
        <v>45822</v>
      </c>
      <c r="G3" s="95"/>
    </row>
    <row r="4" spans="1:65" ht="30" customHeight="1" x14ac:dyDescent="0.25">
      <c r="A4" s="33" t="s">
        <v>3</v>
      </c>
      <c r="C4" s="89" t="s">
        <v>19</v>
      </c>
      <c r="D4" s="89"/>
      <c r="E4" s="90"/>
      <c r="F4" s="7">
        <v>1</v>
      </c>
      <c r="J4" s="92">
        <f>J5</f>
        <v>45817</v>
      </c>
      <c r="K4" s="93"/>
      <c r="L4" s="93"/>
      <c r="M4" s="93"/>
      <c r="N4" s="93"/>
      <c r="O4" s="93"/>
      <c r="P4" s="94"/>
      <c r="Q4" s="92">
        <f>Q5</f>
        <v>45824</v>
      </c>
      <c r="R4" s="93"/>
      <c r="S4" s="93"/>
      <c r="T4" s="93"/>
      <c r="U4" s="93"/>
      <c r="V4" s="93"/>
      <c r="W4" s="94"/>
      <c r="X4" s="92">
        <f>X5</f>
        <v>45831</v>
      </c>
      <c r="Y4" s="93"/>
      <c r="Z4" s="93"/>
      <c r="AA4" s="93"/>
      <c r="AB4" s="93"/>
      <c r="AC4" s="93"/>
      <c r="AD4" s="94"/>
      <c r="AE4" s="92">
        <f>AE5</f>
        <v>45838</v>
      </c>
      <c r="AF4" s="93"/>
      <c r="AG4" s="93"/>
      <c r="AH4" s="93"/>
      <c r="AI4" s="93"/>
      <c r="AJ4" s="93"/>
      <c r="AK4" s="94"/>
      <c r="AL4" s="92">
        <f>AL5</f>
        <v>45845</v>
      </c>
      <c r="AM4" s="93"/>
      <c r="AN4" s="93"/>
      <c r="AO4" s="93"/>
      <c r="AP4" s="93"/>
      <c r="AQ4" s="93"/>
      <c r="AR4" s="94"/>
      <c r="AS4" s="92">
        <f>AS5</f>
        <v>45852</v>
      </c>
      <c r="AT4" s="93"/>
      <c r="AU4" s="93"/>
      <c r="AV4" s="93"/>
      <c r="AW4" s="93"/>
      <c r="AX4" s="93"/>
      <c r="AY4" s="94"/>
      <c r="AZ4" s="92">
        <f>AZ5</f>
        <v>45859</v>
      </c>
      <c r="BA4" s="93"/>
      <c r="BB4" s="93"/>
      <c r="BC4" s="93"/>
      <c r="BD4" s="93"/>
      <c r="BE4" s="93"/>
      <c r="BF4" s="94"/>
      <c r="BG4" s="92">
        <f>BG5</f>
        <v>45866</v>
      </c>
      <c r="BH4" s="93"/>
      <c r="BI4" s="93"/>
      <c r="BJ4" s="93"/>
      <c r="BK4" s="93"/>
      <c r="BL4" s="93"/>
      <c r="BM4" s="94"/>
    </row>
    <row r="5" spans="1:65" ht="15" customHeight="1" x14ac:dyDescent="0.25">
      <c r="A5" s="33" t="s">
        <v>4</v>
      </c>
      <c r="B5" s="91"/>
      <c r="C5" s="91"/>
      <c r="D5" s="91"/>
      <c r="E5" s="91"/>
      <c r="F5" s="91"/>
      <c r="G5" s="91"/>
      <c r="H5" s="91"/>
      <c r="J5" s="70">
        <f>InicioDelProyecto-WEEKDAY(InicioDelProyecto,1)+2+7*(SemanaParaMostrar-1)</f>
        <v>45817</v>
      </c>
      <c r="K5" s="71">
        <f>J5+1</f>
        <v>45818</v>
      </c>
      <c r="L5" s="71">
        <f t="shared" ref="L5:AY5" si="0">K5+1</f>
        <v>45819</v>
      </c>
      <c r="M5" s="71">
        <f t="shared" si="0"/>
        <v>45820</v>
      </c>
      <c r="N5" s="71">
        <f t="shared" si="0"/>
        <v>45821</v>
      </c>
      <c r="O5" s="71">
        <f t="shared" si="0"/>
        <v>45822</v>
      </c>
      <c r="P5" s="72">
        <f t="shared" si="0"/>
        <v>45823</v>
      </c>
      <c r="Q5" s="70">
        <f>P5+1</f>
        <v>45824</v>
      </c>
      <c r="R5" s="71">
        <f>Q5+1</f>
        <v>45825</v>
      </c>
      <c r="S5" s="71">
        <f t="shared" si="0"/>
        <v>45826</v>
      </c>
      <c r="T5" s="71">
        <f t="shared" si="0"/>
        <v>45827</v>
      </c>
      <c r="U5" s="71">
        <f t="shared" si="0"/>
        <v>45828</v>
      </c>
      <c r="V5" s="71">
        <f t="shared" si="0"/>
        <v>45829</v>
      </c>
      <c r="W5" s="72">
        <f t="shared" si="0"/>
        <v>45830</v>
      </c>
      <c r="X5" s="70">
        <f>W5+1</f>
        <v>45831</v>
      </c>
      <c r="Y5" s="71">
        <f>X5+1</f>
        <v>45832</v>
      </c>
      <c r="Z5" s="71">
        <f t="shared" si="0"/>
        <v>45833</v>
      </c>
      <c r="AA5" s="71">
        <f t="shared" si="0"/>
        <v>45834</v>
      </c>
      <c r="AB5" s="71">
        <f t="shared" si="0"/>
        <v>45835</v>
      </c>
      <c r="AC5" s="71">
        <f t="shared" si="0"/>
        <v>45836</v>
      </c>
      <c r="AD5" s="72">
        <f t="shared" si="0"/>
        <v>45837</v>
      </c>
      <c r="AE5" s="70">
        <f>AD5+1</f>
        <v>45838</v>
      </c>
      <c r="AF5" s="71">
        <f>AE5+1</f>
        <v>45839</v>
      </c>
      <c r="AG5" s="71">
        <f t="shared" si="0"/>
        <v>45840</v>
      </c>
      <c r="AH5" s="71">
        <f t="shared" si="0"/>
        <v>45841</v>
      </c>
      <c r="AI5" s="71">
        <f t="shared" si="0"/>
        <v>45842</v>
      </c>
      <c r="AJ5" s="71">
        <f t="shared" si="0"/>
        <v>45843</v>
      </c>
      <c r="AK5" s="72">
        <f t="shared" si="0"/>
        <v>45844</v>
      </c>
      <c r="AL5" s="70">
        <f>AK5+1</f>
        <v>45845</v>
      </c>
      <c r="AM5" s="71">
        <f>AL5+1</f>
        <v>45846</v>
      </c>
      <c r="AN5" s="71">
        <f t="shared" si="0"/>
        <v>45847</v>
      </c>
      <c r="AO5" s="71">
        <f t="shared" si="0"/>
        <v>45848</v>
      </c>
      <c r="AP5" s="71">
        <f t="shared" si="0"/>
        <v>45849</v>
      </c>
      <c r="AQ5" s="71">
        <f t="shared" si="0"/>
        <v>45850</v>
      </c>
      <c r="AR5" s="72">
        <f t="shared" si="0"/>
        <v>45851</v>
      </c>
      <c r="AS5" s="70">
        <f>AR5+1</f>
        <v>45852</v>
      </c>
      <c r="AT5" s="71">
        <f>AS5+1</f>
        <v>45853</v>
      </c>
      <c r="AU5" s="71">
        <f t="shared" si="0"/>
        <v>45854</v>
      </c>
      <c r="AV5" s="71">
        <f t="shared" si="0"/>
        <v>45855</v>
      </c>
      <c r="AW5" s="71">
        <f t="shared" si="0"/>
        <v>45856</v>
      </c>
      <c r="AX5" s="71">
        <f t="shared" si="0"/>
        <v>45857</v>
      </c>
      <c r="AY5" s="72">
        <f t="shared" si="0"/>
        <v>45858</v>
      </c>
      <c r="AZ5" s="70">
        <f>AY5+1</f>
        <v>45859</v>
      </c>
      <c r="BA5" s="71">
        <f>AZ5+1</f>
        <v>45860</v>
      </c>
      <c r="BB5" s="71">
        <f t="shared" ref="BB5:BF5" si="1">BA5+1</f>
        <v>45861</v>
      </c>
      <c r="BC5" s="71">
        <f t="shared" si="1"/>
        <v>45862</v>
      </c>
      <c r="BD5" s="71">
        <f t="shared" si="1"/>
        <v>45863</v>
      </c>
      <c r="BE5" s="71">
        <f t="shared" si="1"/>
        <v>45864</v>
      </c>
      <c r="BF5" s="72">
        <f t="shared" si="1"/>
        <v>45865</v>
      </c>
      <c r="BG5" s="70">
        <f>BF5+1</f>
        <v>45866</v>
      </c>
      <c r="BH5" s="71">
        <f>BG5+1</f>
        <v>45867</v>
      </c>
      <c r="BI5" s="71">
        <f t="shared" ref="BI5:BM5" si="2">BH5+1</f>
        <v>45868</v>
      </c>
      <c r="BJ5" s="71">
        <f t="shared" si="2"/>
        <v>45869</v>
      </c>
      <c r="BK5" s="71">
        <f t="shared" si="2"/>
        <v>45870</v>
      </c>
      <c r="BL5" s="71">
        <f t="shared" si="2"/>
        <v>45871</v>
      </c>
      <c r="BM5" s="72">
        <f t="shared" si="2"/>
        <v>45872</v>
      </c>
    </row>
    <row r="6" spans="1:65" ht="30" customHeight="1" thickBot="1" x14ac:dyDescent="0.3">
      <c r="A6" s="33" t="s">
        <v>5</v>
      </c>
      <c r="B6" s="67" t="s">
        <v>15</v>
      </c>
      <c r="C6" s="68" t="s">
        <v>41</v>
      </c>
      <c r="D6" s="68" t="s">
        <v>42</v>
      </c>
      <c r="E6" s="68" t="s">
        <v>20</v>
      </c>
      <c r="F6" s="68" t="s">
        <v>21</v>
      </c>
      <c r="G6" s="68" t="s">
        <v>22</v>
      </c>
      <c r="H6" s="68"/>
      <c r="I6" s="68" t="s">
        <v>23</v>
      </c>
      <c r="J6" s="69" t="str">
        <f t="shared" ref="J6" si="3">LEFT(TEXT(J5,"ddd"),1)</f>
        <v>l</v>
      </c>
      <c r="K6" s="69" t="str">
        <f t="shared" ref="K6:AS6" si="4">LEFT(TEXT(K5,"ddd"),1)</f>
        <v>m</v>
      </c>
      <c r="L6" s="69" t="str">
        <f t="shared" si="4"/>
        <v>m</v>
      </c>
      <c r="M6" s="69" t="str">
        <f t="shared" si="4"/>
        <v>j</v>
      </c>
      <c r="N6" s="69" t="str">
        <f t="shared" si="4"/>
        <v>v</v>
      </c>
      <c r="O6" s="69" t="str">
        <f t="shared" si="4"/>
        <v>s</v>
      </c>
      <c r="P6" s="69" t="str">
        <f t="shared" si="4"/>
        <v>d</v>
      </c>
      <c r="Q6" s="69" t="str">
        <f t="shared" si="4"/>
        <v>l</v>
      </c>
      <c r="R6" s="69" t="str">
        <f t="shared" si="4"/>
        <v>m</v>
      </c>
      <c r="S6" s="69" t="str">
        <f t="shared" si="4"/>
        <v>m</v>
      </c>
      <c r="T6" s="69" t="str">
        <f t="shared" si="4"/>
        <v>j</v>
      </c>
      <c r="U6" s="69" t="str">
        <f t="shared" si="4"/>
        <v>v</v>
      </c>
      <c r="V6" s="69" t="str">
        <f t="shared" si="4"/>
        <v>s</v>
      </c>
      <c r="W6" s="69" t="str">
        <f t="shared" si="4"/>
        <v>d</v>
      </c>
      <c r="X6" s="69" t="str">
        <f t="shared" si="4"/>
        <v>l</v>
      </c>
      <c r="Y6" s="69" t="str">
        <f t="shared" si="4"/>
        <v>m</v>
      </c>
      <c r="Z6" s="69" t="str">
        <f t="shared" si="4"/>
        <v>m</v>
      </c>
      <c r="AA6" s="69" t="str">
        <f t="shared" si="4"/>
        <v>j</v>
      </c>
      <c r="AB6" s="69" t="str">
        <f t="shared" si="4"/>
        <v>v</v>
      </c>
      <c r="AC6" s="69" t="str">
        <f t="shared" si="4"/>
        <v>s</v>
      </c>
      <c r="AD6" s="69" t="str">
        <f t="shared" si="4"/>
        <v>d</v>
      </c>
      <c r="AE6" s="69" t="str">
        <f t="shared" si="4"/>
        <v>l</v>
      </c>
      <c r="AF6" s="69" t="str">
        <f t="shared" si="4"/>
        <v>m</v>
      </c>
      <c r="AG6" s="69" t="str">
        <f t="shared" si="4"/>
        <v>m</v>
      </c>
      <c r="AH6" s="69" t="str">
        <f t="shared" si="4"/>
        <v>j</v>
      </c>
      <c r="AI6" s="69" t="str">
        <f t="shared" si="4"/>
        <v>v</v>
      </c>
      <c r="AJ6" s="69" t="str">
        <f t="shared" si="4"/>
        <v>s</v>
      </c>
      <c r="AK6" s="69" t="str">
        <f t="shared" si="4"/>
        <v>d</v>
      </c>
      <c r="AL6" s="69" t="str">
        <f t="shared" si="4"/>
        <v>l</v>
      </c>
      <c r="AM6" s="69" t="str">
        <f t="shared" si="4"/>
        <v>m</v>
      </c>
      <c r="AN6" s="69" t="str">
        <f t="shared" si="4"/>
        <v>m</v>
      </c>
      <c r="AO6" s="69" t="str">
        <f t="shared" si="4"/>
        <v>j</v>
      </c>
      <c r="AP6" s="69" t="str">
        <f t="shared" si="4"/>
        <v>v</v>
      </c>
      <c r="AQ6" s="69" t="str">
        <f t="shared" si="4"/>
        <v>s</v>
      </c>
      <c r="AR6" s="69" t="str">
        <f t="shared" si="4"/>
        <v>d</v>
      </c>
      <c r="AS6" s="69" t="str">
        <f t="shared" si="4"/>
        <v>l</v>
      </c>
      <c r="AT6" s="69" t="str">
        <f t="shared" ref="AT6:BM6" si="5">LEFT(TEXT(AT5,"ddd"),1)</f>
        <v>m</v>
      </c>
      <c r="AU6" s="69" t="str">
        <f t="shared" si="5"/>
        <v>m</v>
      </c>
      <c r="AV6" s="69" t="str">
        <f t="shared" si="5"/>
        <v>j</v>
      </c>
      <c r="AW6" s="69" t="str">
        <f t="shared" si="5"/>
        <v>v</v>
      </c>
      <c r="AX6" s="69" t="str">
        <f t="shared" si="5"/>
        <v>s</v>
      </c>
      <c r="AY6" s="69" t="str">
        <f t="shared" si="5"/>
        <v>d</v>
      </c>
      <c r="AZ6" s="69" t="str">
        <f t="shared" si="5"/>
        <v>l</v>
      </c>
      <c r="BA6" s="69" t="str">
        <f t="shared" si="5"/>
        <v>m</v>
      </c>
      <c r="BB6" s="69" t="str">
        <f t="shared" si="5"/>
        <v>m</v>
      </c>
      <c r="BC6" s="69" t="str">
        <f t="shared" si="5"/>
        <v>j</v>
      </c>
      <c r="BD6" s="69" t="str">
        <f t="shared" si="5"/>
        <v>v</v>
      </c>
      <c r="BE6" s="69" t="str">
        <f t="shared" si="5"/>
        <v>s</v>
      </c>
      <c r="BF6" s="69" t="str">
        <f t="shared" si="5"/>
        <v>d</v>
      </c>
      <c r="BG6" s="69" t="str">
        <f t="shared" si="5"/>
        <v>l</v>
      </c>
      <c r="BH6" s="69" t="str">
        <f t="shared" si="5"/>
        <v>m</v>
      </c>
      <c r="BI6" s="69" t="str">
        <f t="shared" si="5"/>
        <v>m</v>
      </c>
      <c r="BJ6" s="69" t="str">
        <f t="shared" si="5"/>
        <v>j</v>
      </c>
      <c r="BK6" s="69" t="str">
        <f t="shared" si="5"/>
        <v>v</v>
      </c>
      <c r="BL6" s="69" t="str">
        <f t="shared" si="5"/>
        <v>s</v>
      </c>
      <c r="BM6" s="69" t="str">
        <f t="shared" si="5"/>
        <v>d</v>
      </c>
    </row>
    <row r="7" spans="1:65" ht="15.75" hidden="1" customHeight="1" thickBot="1" x14ac:dyDescent="0.3">
      <c r="A7" s="32" t="s">
        <v>6</v>
      </c>
      <c r="C7" s="36"/>
      <c r="D7" s="36"/>
      <c r="F7"/>
      <c r="I7" t="str">
        <f>IF(OR(ISBLANK(Fecha_incio),ISBLANK(Fecha_final)),"",Fecha_final-Fecha_incio+1)</f>
        <v/>
      </c>
      <c r="J7" s="28"/>
      <c r="K7" s="28"/>
      <c r="L7" s="28"/>
      <c r="M7" s="28"/>
      <c r="N7" s="28"/>
      <c r="O7" s="28"/>
      <c r="P7" s="28"/>
      <c r="Q7" s="28"/>
      <c r="R7" s="28"/>
      <c r="S7" s="28"/>
      <c r="T7" s="28"/>
      <c r="U7" s="28"/>
      <c r="V7" s="28"/>
      <c r="W7" s="28"/>
      <c r="X7" s="28"/>
      <c r="Y7" s="28"/>
      <c r="Z7" s="28"/>
      <c r="AA7" s="28"/>
      <c r="AB7" s="28"/>
      <c r="AC7" s="28"/>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c r="BM7" s="28"/>
    </row>
    <row r="8" spans="1:65" s="3" customFormat="1" ht="30" customHeight="1" thickBot="1" x14ac:dyDescent="0.3">
      <c r="A8" s="33" t="s">
        <v>10</v>
      </c>
      <c r="B8" s="15" t="s">
        <v>29</v>
      </c>
      <c r="C8" s="39"/>
      <c r="D8" s="39"/>
      <c r="E8" s="16"/>
      <c r="F8" s="54"/>
      <c r="G8" s="55"/>
      <c r="H8" s="11"/>
      <c r="I8" s="11" t="str">
        <f t="shared" ref="I8:I44" si="6">IF(OR(ISBLANK(Fecha_incio),ISBLANK(Fecha_final)),"",Fecha_final-Fecha_incio+1)</f>
        <v/>
      </c>
      <c r="J8" s="28"/>
      <c r="K8" s="28"/>
      <c r="L8" s="28"/>
      <c r="M8" s="28"/>
      <c r="N8" s="28"/>
      <c r="O8" s="28"/>
      <c r="P8" s="28"/>
      <c r="Q8" s="28"/>
      <c r="R8" s="28"/>
      <c r="S8" s="28"/>
      <c r="T8" s="28"/>
      <c r="U8" s="28"/>
      <c r="V8" s="28"/>
      <c r="W8" s="28"/>
      <c r="X8" s="28"/>
      <c r="Y8" s="28"/>
      <c r="Z8" s="28"/>
      <c r="AA8" s="28"/>
      <c r="AB8" s="28"/>
      <c r="AC8" s="28"/>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row>
    <row r="9" spans="1:65" s="3" customFormat="1" ht="30" customHeight="1" thickBot="1" x14ac:dyDescent="0.3">
      <c r="A9" s="33"/>
      <c r="B9" s="47" t="s">
        <v>33</v>
      </c>
      <c r="C9" s="40" t="s">
        <v>80</v>
      </c>
      <c r="D9" s="40"/>
      <c r="E9" s="17">
        <v>0.05</v>
      </c>
      <c r="F9" s="56">
        <f>F24+1</f>
        <v>45830</v>
      </c>
      <c r="G9" s="56">
        <f>F9+4</f>
        <v>45834</v>
      </c>
      <c r="H9" s="11"/>
      <c r="I9" s="11">
        <f t="shared" si="6"/>
        <v>5</v>
      </c>
      <c r="J9" s="28"/>
      <c r="K9" s="28"/>
      <c r="L9" s="28"/>
      <c r="M9" s="28"/>
      <c r="N9" s="28"/>
      <c r="O9" s="28"/>
      <c r="P9" s="28"/>
      <c r="Q9" s="28"/>
      <c r="R9" s="28"/>
      <c r="S9" s="28"/>
      <c r="T9" s="28"/>
      <c r="U9" s="28"/>
      <c r="V9" s="28"/>
      <c r="W9" s="28"/>
      <c r="X9" s="28"/>
      <c r="Y9" s="28"/>
      <c r="Z9" s="28"/>
      <c r="AA9" s="28"/>
      <c r="AB9" s="28"/>
      <c r="AC9" s="28"/>
      <c r="AD9" s="28"/>
      <c r="AE9" s="28"/>
      <c r="AF9" s="28"/>
      <c r="AG9" s="28"/>
      <c r="AH9" s="28"/>
      <c r="AI9" s="28"/>
      <c r="AJ9" s="28"/>
      <c r="AK9" s="28"/>
      <c r="AL9" s="28"/>
      <c r="AM9" s="28"/>
      <c r="AN9" s="28"/>
      <c r="AO9" s="28"/>
      <c r="AP9" s="28"/>
      <c r="AQ9" s="28"/>
      <c r="AR9" s="28"/>
      <c r="AS9" s="28"/>
      <c r="AT9" s="28"/>
      <c r="AU9" s="28"/>
      <c r="AV9" s="28"/>
      <c r="AW9" s="28"/>
      <c r="AX9" s="28"/>
      <c r="AY9" s="28"/>
      <c r="AZ9" s="28"/>
      <c r="BA9" s="28"/>
      <c r="BB9" s="28"/>
      <c r="BC9" s="28"/>
      <c r="BD9" s="28"/>
      <c r="BE9" s="28"/>
      <c r="BF9" s="28"/>
      <c r="BG9" s="28"/>
      <c r="BH9" s="28"/>
      <c r="BI9" s="28"/>
      <c r="BJ9" s="28"/>
      <c r="BK9" s="28"/>
      <c r="BL9" s="28"/>
      <c r="BM9" s="28"/>
    </row>
    <row r="10" spans="1:65" s="3" customFormat="1" ht="30" customHeight="1" thickBot="1" x14ac:dyDescent="0.3">
      <c r="A10" s="32"/>
      <c r="B10" s="47" t="s">
        <v>35</v>
      </c>
      <c r="C10" s="40" t="s">
        <v>27</v>
      </c>
      <c r="D10" s="40"/>
      <c r="E10" s="17">
        <v>0</v>
      </c>
      <c r="F10" s="56">
        <f>F9+2</f>
        <v>45832</v>
      </c>
      <c r="G10" s="56">
        <f>F10+5</f>
        <v>45837</v>
      </c>
      <c r="H10" s="11"/>
      <c r="I10" s="11">
        <f t="shared" si="6"/>
        <v>6</v>
      </c>
      <c r="J10" s="28"/>
      <c r="K10" s="28"/>
      <c r="L10" s="28"/>
      <c r="M10" s="28"/>
      <c r="N10" s="28"/>
      <c r="O10" s="28"/>
      <c r="P10" s="28"/>
      <c r="Q10" s="28"/>
      <c r="R10" s="28"/>
      <c r="S10" s="28"/>
      <c r="T10" s="28"/>
      <c r="U10" s="28"/>
      <c r="V10" s="29"/>
      <c r="W10" s="29"/>
      <c r="X10" s="28"/>
      <c r="Y10" s="28"/>
      <c r="Z10" s="28"/>
      <c r="AA10" s="28"/>
      <c r="AB10" s="28"/>
      <c r="AC10" s="28"/>
      <c r="AD10" s="28"/>
      <c r="AE10" s="28"/>
      <c r="AF10" s="28"/>
      <c r="AG10" s="28"/>
      <c r="AH10" s="28"/>
      <c r="AI10" s="28"/>
      <c r="AJ10" s="28"/>
      <c r="AK10" s="28"/>
      <c r="AL10" s="28"/>
      <c r="AM10" s="28"/>
      <c r="AN10" s="28"/>
      <c r="AO10" s="28"/>
      <c r="AP10" s="28"/>
      <c r="AQ10" s="28"/>
      <c r="AR10" s="28"/>
      <c r="AS10" s="28"/>
      <c r="AT10" s="28"/>
      <c r="AU10" s="28"/>
      <c r="AV10" s="28"/>
      <c r="AW10" s="28"/>
      <c r="AX10" s="28"/>
      <c r="AY10" s="28"/>
      <c r="AZ10" s="28"/>
      <c r="BA10" s="28"/>
      <c r="BB10" s="28"/>
      <c r="BC10" s="28"/>
      <c r="BD10" s="28"/>
      <c r="BE10" s="28"/>
      <c r="BF10" s="28"/>
      <c r="BG10" s="28"/>
      <c r="BH10" s="28"/>
      <c r="BI10" s="28"/>
      <c r="BJ10" s="28"/>
      <c r="BK10" s="28"/>
      <c r="BL10" s="28"/>
      <c r="BM10" s="28"/>
    </row>
    <row r="11" spans="1:65" s="3" customFormat="1" ht="30" customHeight="1" thickBot="1" x14ac:dyDescent="0.3">
      <c r="A11" s="32"/>
      <c r="B11" s="47" t="s">
        <v>36</v>
      </c>
      <c r="C11" s="40" t="s">
        <v>27</v>
      </c>
      <c r="D11" s="40"/>
      <c r="E11" s="17">
        <v>0</v>
      </c>
      <c r="F11" s="56">
        <f>G10</f>
        <v>45837</v>
      </c>
      <c r="G11" s="56">
        <f>F11+3</f>
        <v>45840</v>
      </c>
      <c r="H11" s="11"/>
      <c r="I11" s="11">
        <f t="shared" si="6"/>
        <v>4</v>
      </c>
      <c r="J11" s="28"/>
      <c r="K11" s="28"/>
      <c r="L11" s="28"/>
      <c r="M11" s="28"/>
      <c r="N11" s="28"/>
      <c r="O11" s="28"/>
      <c r="P11" s="28"/>
      <c r="Q11" s="28"/>
      <c r="R11" s="28"/>
      <c r="S11" s="28"/>
      <c r="T11" s="28"/>
      <c r="U11" s="28"/>
      <c r="V11" s="28"/>
      <c r="W11" s="28"/>
      <c r="X11" s="28"/>
      <c r="Y11" s="28"/>
      <c r="Z11" s="28"/>
      <c r="AA11" s="28"/>
      <c r="AB11" s="28"/>
      <c r="AC11" s="28"/>
      <c r="AD11" s="28"/>
      <c r="AE11" s="28"/>
      <c r="AF11" s="28"/>
      <c r="AG11" s="28"/>
      <c r="AH11" s="28"/>
      <c r="AI11" s="28"/>
      <c r="AJ11" s="28"/>
      <c r="AK11" s="28"/>
      <c r="AL11" s="28"/>
      <c r="AM11" s="28"/>
      <c r="AN11" s="28"/>
      <c r="AO11" s="28"/>
      <c r="AP11" s="28"/>
      <c r="AQ11" s="28"/>
      <c r="AR11" s="28"/>
      <c r="AS11" s="28"/>
      <c r="AT11" s="28"/>
      <c r="AU11" s="28"/>
      <c r="AV11" s="28"/>
      <c r="AW11" s="28"/>
      <c r="AX11" s="28"/>
      <c r="AY11" s="28"/>
      <c r="AZ11" s="28"/>
      <c r="BA11" s="28"/>
      <c r="BB11" s="28"/>
      <c r="BC11" s="28"/>
      <c r="BD11" s="28"/>
      <c r="BE11" s="28"/>
      <c r="BF11" s="28"/>
      <c r="BG11" s="28"/>
      <c r="BH11" s="28"/>
      <c r="BI11" s="28"/>
      <c r="BJ11" s="28"/>
      <c r="BK11" s="28"/>
      <c r="BL11" s="28"/>
      <c r="BM11" s="28"/>
    </row>
    <row r="12" spans="1:65" s="3" customFormat="1" ht="30" customHeight="1" thickBot="1" x14ac:dyDescent="0.3">
      <c r="A12" s="32"/>
      <c r="B12" s="47" t="s">
        <v>37</v>
      </c>
      <c r="C12" s="40" t="s">
        <v>27</v>
      </c>
      <c r="D12" s="40"/>
      <c r="E12" s="17">
        <v>0</v>
      </c>
      <c r="F12" s="56">
        <f>F11</f>
        <v>45837</v>
      </c>
      <c r="G12" s="56">
        <f>F12+2</f>
        <v>45839</v>
      </c>
      <c r="H12" s="11"/>
      <c r="I12" s="11">
        <f t="shared" si="6"/>
        <v>3</v>
      </c>
      <c r="J12" s="28"/>
      <c r="K12" s="28"/>
      <c r="L12" s="28"/>
      <c r="M12" s="28"/>
      <c r="N12" s="28"/>
      <c r="O12" s="28"/>
      <c r="P12" s="28"/>
      <c r="Q12" s="28"/>
      <c r="R12" s="28"/>
      <c r="S12" s="28"/>
      <c r="T12" s="28"/>
      <c r="U12" s="28"/>
      <c r="V12" s="28"/>
      <c r="W12" s="28"/>
      <c r="X12" s="28"/>
      <c r="Y12" s="28"/>
      <c r="Z12" s="29"/>
      <c r="AA12" s="28"/>
      <c r="AB12" s="28"/>
      <c r="AC12" s="28"/>
      <c r="AD12" s="28"/>
      <c r="AE12" s="28"/>
      <c r="AF12" s="28"/>
      <c r="AG12" s="28"/>
      <c r="AH12" s="28"/>
      <c r="AI12" s="28"/>
      <c r="AJ12" s="28"/>
      <c r="AK12" s="28"/>
      <c r="AL12" s="28"/>
      <c r="AM12" s="28"/>
      <c r="AN12" s="28"/>
      <c r="AO12" s="28"/>
      <c r="AP12" s="28"/>
      <c r="AQ12" s="28"/>
      <c r="AR12" s="28"/>
      <c r="AS12" s="28"/>
      <c r="AT12" s="28"/>
      <c r="AU12" s="28"/>
      <c r="AV12" s="28"/>
      <c r="AW12" s="28"/>
      <c r="AX12" s="28"/>
      <c r="AY12" s="28"/>
      <c r="AZ12" s="28"/>
      <c r="BA12" s="28"/>
      <c r="BB12" s="28"/>
      <c r="BC12" s="28"/>
      <c r="BD12" s="28"/>
      <c r="BE12" s="28"/>
      <c r="BF12" s="28"/>
      <c r="BG12" s="28"/>
      <c r="BH12" s="28"/>
      <c r="BI12" s="28"/>
      <c r="BJ12" s="28"/>
      <c r="BK12" s="28"/>
      <c r="BL12" s="28"/>
      <c r="BM12" s="28"/>
    </row>
    <row r="13" spans="1:65" s="3" customFormat="1" ht="30" customHeight="1" thickBot="1" x14ac:dyDescent="0.3">
      <c r="A13" s="32"/>
      <c r="B13" s="75" t="s">
        <v>16</v>
      </c>
      <c r="C13" s="40" t="s">
        <v>27</v>
      </c>
      <c r="D13" s="40"/>
      <c r="E13" s="17">
        <v>0</v>
      </c>
      <c r="F13" s="56">
        <f>F12</f>
        <v>45837</v>
      </c>
      <c r="G13" s="56">
        <f>F13+3</f>
        <v>45840</v>
      </c>
      <c r="H13" s="11"/>
      <c r="I13" s="11">
        <f t="shared" si="6"/>
        <v>4</v>
      </c>
      <c r="J13" s="28"/>
      <c r="K13" s="28"/>
      <c r="L13" s="28"/>
      <c r="M13" s="28"/>
      <c r="N13" s="28"/>
      <c r="O13" s="28"/>
      <c r="P13" s="28"/>
      <c r="Q13" s="28"/>
      <c r="R13" s="28"/>
      <c r="S13" s="28"/>
      <c r="T13" s="28"/>
      <c r="U13" s="28"/>
      <c r="V13" s="28"/>
      <c r="W13" s="28"/>
      <c r="X13" s="28"/>
      <c r="Y13" s="28"/>
      <c r="Z13" s="28"/>
      <c r="AA13" s="28"/>
      <c r="AB13" s="28"/>
      <c r="AC13" s="28"/>
      <c r="AD13" s="28"/>
      <c r="AE13" s="28"/>
      <c r="AF13" s="28"/>
      <c r="AG13" s="28"/>
      <c r="AH13" s="28"/>
      <c r="AI13" s="28"/>
      <c r="AJ13" s="28"/>
      <c r="AK13" s="28"/>
      <c r="AL13" s="28"/>
      <c r="AM13" s="28"/>
      <c r="AN13" s="28"/>
      <c r="AO13" s="28"/>
      <c r="AP13" s="28"/>
      <c r="AQ13" s="28"/>
      <c r="AR13" s="28"/>
      <c r="AS13" s="28"/>
      <c r="AT13" s="28"/>
      <c r="AU13" s="28"/>
      <c r="AV13" s="28"/>
      <c r="AW13" s="28"/>
      <c r="AX13" s="28"/>
      <c r="AY13" s="28"/>
      <c r="AZ13" s="28"/>
      <c r="BA13" s="28"/>
      <c r="BB13" s="28"/>
      <c r="BC13" s="28"/>
      <c r="BD13" s="28"/>
      <c r="BE13" s="28"/>
      <c r="BF13" s="28"/>
      <c r="BG13" s="28"/>
      <c r="BH13" s="28"/>
      <c r="BI13" s="28"/>
      <c r="BJ13" s="28"/>
      <c r="BK13" s="28"/>
      <c r="BL13" s="28"/>
      <c r="BM13" s="28"/>
    </row>
    <row r="14" spans="1:65" s="3" customFormat="1" ht="30" customHeight="1" thickBot="1" x14ac:dyDescent="0.3">
      <c r="A14" s="33" t="s">
        <v>7</v>
      </c>
      <c r="B14" s="12" t="s">
        <v>28</v>
      </c>
      <c r="C14" s="37"/>
      <c r="D14" s="37"/>
      <c r="E14" s="13"/>
      <c r="F14" s="51"/>
      <c r="G14" s="52"/>
      <c r="H14" s="11"/>
      <c r="I14" s="11" t="str">
        <f t="shared" si="6"/>
        <v/>
      </c>
      <c r="J14" s="28"/>
      <c r="K14" s="28"/>
      <c r="L14" s="28"/>
      <c r="M14" s="28"/>
      <c r="N14" s="28"/>
      <c r="O14" s="28"/>
      <c r="P14" s="28"/>
      <c r="Q14" s="28"/>
      <c r="R14" s="28"/>
      <c r="S14" s="28"/>
      <c r="T14" s="28"/>
      <c r="U14" s="28"/>
      <c r="V14" s="28"/>
      <c r="W14" s="28"/>
      <c r="X14" s="28"/>
      <c r="Y14" s="28"/>
      <c r="Z14" s="28"/>
      <c r="AA14" s="28"/>
      <c r="AB14" s="28"/>
      <c r="AC14" s="28"/>
      <c r="AD14" s="28"/>
      <c r="AE14" s="28"/>
      <c r="AF14" s="28"/>
      <c r="AG14" s="28"/>
      <c r="AH14" s="28"/>
      <c r="AI14" s="28"/>
      <c r="AJ14" s="28"/>
      <c r="AK14" s="28"/>
      <c r="AL14" s="28"/>
      <c r="AM14" s="28"/>
      <c r="AN14" s="28"/>
      <c r="AO14" s="28"/>
      <c r="AP14" s="28"/>
      <c r="AQ14" s="28"/>
      <c r="AR14" s="28"/>
      <c r="AS14" s="28"/>
      <c r="AT14" s="28"/>
      <c r="AU14" s="28"/>
      <c r="AV14" s="28"/>
      <c r="AW14" s="28"/>
      <c r="AX14" s="28"/>
      <c r="AY14" s="28"/>
      <c r="AZ14" s="28"/>
      <c r="BA14" s="28"/>
      <c r="BB14" s="28"/>
      <c r="BC14" s="28"/>
      <c r="BD14" s="28"/>
      <c r="BE14" s="28"/>
      <c r="BF14" s="28"/>
      <c r="BG14" s="28"/>
      <c r="BH14" s="28"/>
      <c r="BI14" s="28"/>
      <c r="BJ14" s="28"/>
      <c r="BK14" s="28"/>
      <c r="BL14" s="28"/>
      <c r="BM14" s="28"/>
    </row>
    <row r="15" spans="1:65" s="3" customFormat="1" ht="30" customHeight="1" thickBot="1" x14ac:dyDescent="0.3">
      <c r="A15" s="33" t="s">
        <v>8</v>
      </c>
      <c r="B15" s="46" t="s">
        <v>61</v>
      </c>
      <c r="C15" s="38" t="s">
        <v>27</v>
      </c>
      <c r="D15" s="38"/>
      <c r="E15" s="14">
        <v>0.5</v>
      </c>
      <c r="F15" s="53">
        <f>InicioDelProyecto</f>
        <v>45822</v>
      </c>
      <c r="G15" s="53">
        <f>F15+6</f>
        <v>45828</v>
      </c>
      <c r="H15" s="11"/>
      <c r="I15" s="11">
        <f t="shared" si="6"/>
        <v>7</v>
      </c>
      <c r="J15" s="28"/>
      <c r="K15" s="28"/>
      <c r="L15" s="28"/>
      <c r="M15" s="28"/>
      <c r="N15" s="28"/>
      <c r="O15" s="28"/>
      <c r="P15" s="28"/>
      <c r="Q15" s="28"/>
      <c r="R15" s="28"/>
      <c r="S15" s="28"/>
      <c r="T15" s="28"/>
      <c r="U15" s="28"/>
      <c r="V15" s="28"/>
      <c r="W15" s="28"/>
      <c r="X15" s="28"/>
      <c r="Y15" s="28"/>
      <c r="Z15" s="28"/>
      <c r="AA15" s="28"/>
      <c r="AB15" s="28"/>
      <c r="AC15" s="28"/>
      <c r="AD15" s="28"/>
      <c r="AE15" s="28"/>
      <c r="AF15" s="28"/>
      <c r="AG15" s="28"/>
      <c r="AH15" s="28"/>
      <c r="AI15" s="28"/>
      <c r="AJ15" s="28"/>
      <c r="AK15" s="28"/>
      <c r="AL15" s="28"/>
      <c r="AM15" s="28"/>
      <c r="AN15" s="28"/>
      <c r="AO15" s="28"/>
      <c r="AP15" s="28"/>
      <c r="AQ15" s="28"/>
      <c r="AR15" s="28"/>
      <c r="AS15" s="28"/>
      <c r="AT15" s="28"/>
      <c r="AU15" s="28"/>
      <c r="AV15" s="28"/>
      <c r="AW15" s="28"/>
      <c r="AX15" s="28"/>
      <c r="AY15" s="28"/>
      <c r="AZ15" s="28"/>
      <c r="BA15" s="28"/>
      <c r="BB15" s="28"/>
      <c r="BC15" s="28"/>
      <c r="BD15" s="28"/>
      <c r="BE15" s="28"/>
      <c r="BF15" s="28"/>
      <c r="BG15" s="28"/>
      <c r="BH15" s="28"/>
      <c r="BI15" s="28"/>
      <c r="BJ15" s="28"/>
      <c r="BK15" s="28"/>
      <c r="BL15" s="28"/>
      <c r="BM15" s="28"/>
    </row>
    <row r="16" spans="1:65" s="3" customFormat="1" ht="30" customHeight="1" thickBot="1" x14ac:dyDescent="0.3">
      <c r="A16" s="33"/>
      <c r="B16" s="46" t="s">
        <v>81</v>
      </c>
      <c r="C16" s="38" t="s">
        <v>83</v>
      </c>
      <c r="D16" s="38" t="s">
        <v>82</v>
      </c>
      <c r="E16" s="14"/>
      <c r="F16" s="53"/>
      <c r="G16" s="53"/>
      <c r="H16" s="11"/>
      <c r="I16" s="11"/>
      <c r="J16" s="28"/>
      <c r="K16" s="28"/>
      <c r="L16" s="28"/>
      <c r="M16" s="28"/>
      <c r="N16" s="28"/>
      <c r="O16" s="28"/>
      <c r="P16" s="28"/>
      <c r="Q16" s="28"/>
      <c r="R16" s="28"/>
      <c r="S16" s="28"/>
      <c r="T16" s="28"/>
      <c r="U16" s="28"/>
      <c r="V16" s="28"/>
      <c r="W16" s="28"/>
      <c r="X16" s="28"/>
      <c r="Y16" s="28"/>
      <c r="Z16" s="28"/>
      <c r="AA16" s="28"/>
      <c r="AB16" s="28"/>
      <c r="AC16" s="28"/>
      <c r="AD16" s="28"/>
      <c r="AE16" s="28"/>
      <c r="AF16" s="28"/>
      <c r="AG16" s="28"/>
      <c r="AH16" s="28"/>
      <c r="AI16" s="28"/>
      <c r="AJ16" s="28"/>
      <c r="AK16" s="28"/>
      <c r="AL16" s="28"/>
      <c r="AM16" s="28"/>
      <c r="AN16" s="28"/>
      <c r="AO16" s="28"/>
      <c r="AP16" s="28"/>
      <c r="AQ16" s="28"/>
      <c r="AR16" s="28"/>
      <c r="AS16" s="28"/>
      <c r="AT16" s="28"/>
      <c r="AU16" s="28"/>
      <c r="AV16" s="28"/>
      <c r="AW16" s="28"/>
      <c r="AX16" s="28"/>
      <c r="AY16" s="28"/>
      <c r="AZ16" s="28"/>
      <c r="BA16" s="28"/>
      <c r="BB16" s="28"/>
      <c r="BC16" s="28"/>
      <c r="BD16" s="28"/>
      <c r="BE16" s="28"/>
      <c r="BF16" s="28"/>
      <c r="BG16" s="28"/>
      <c r="BH16" s="28"/>
      <c r="BI16" s="28"/>
      <c r="BJ16" s="28"/>
      <c r="BK16" s="28"/>
      <c r="BL16" s="28"/>
      <c r="BM16" s="28"/>
    </row>
    <row r="17" spans="1:65" s="3" customFormat="1" ht="30" customHeight="1" thickBot="1" x14ac:dyDescent="0.3">
      <c r="A17" s="33"/>
      <c r="B17" s="46" t="s">
        <v>65</v>
      </c>
      <c r="C17" s="38" t="s">
        <v>66</v>
      </c>
      <c r="D17" s="38" t="s">
        <v>67</v>
      </c>
      <c r="E17" s="14">
        <v>0</v>
      </c>
      <c r="F17" s="53">
        <v>45851</v>
      </c>
      <c r="G17" s="53">
        <f>F17+6</f>
        <v>45857</v>
      </c>
      <c r="H17" s="11"/>
      <c r="I17" s="11"/>
      <c r="J17" s="28"/>
      <c r="K17" s="28"/>
      <c r="L17" s="28"/>
      <c r="M17" s="28"/>
      <c r="N17" s="28"/>
      <c r="O17" s="28"/>
      <c r="P17" s="28"/>
      <c r="Q17" s="28"/>
      <c r="R17" s="28"/>
      <c r="S17" s="28"/>
      <c r="T17" s="28"/>
      <c r="U17" s="28"/>
      <c r="V17" s="28"/>
      <c r="W17" s="28"/>
      <c r="X17" s="28"/>
      <c r="Y17" s="28"/>
      <c r="Z17" s="28"/>
      <c r="AA17" s="28"/>
      <c r="AB17" s="28"/>
      <c r="AC17" s="28"/>
      <c r="AD17" s="28"/>
      <c r="AE17" s="28"/>
      <c r="AF17" s="28"/>
      <c r="AG17" s="28"/>
      <c r="AH17" s="28"/>
      <c r="AI17" s="28"/>
      <c r="AJ17" s="28"/>
      <c r="AK17" s="28"/>
      <c r="AL17" s="28"/>
      <c r="AM17" s="28"/>
      <c r="AN17" s="28"/>
      <c r="AO17" s="28"/>
      <c r="AP17" s="28"/>
      <c r="AQ17" s="28"/>
      <c r="AR17" s="28"/>
      <c r="AS17" s="28"/>
      <c r="AT17" s="28"/>
      <c r="AU17" s="28"/>
      <c r="AV17" s="28"/>
      <c r="AW17" s="28"/>
      <c r="AX17" s="28"/>
      <c r="AY17" s="28"/>
      <c r="AZ17" s="28"/>
      <c r="BA17" s="28"/>
      <c r="BB17" s="28"/>
      <c r="BC17" s="28"/>
      <c r="BD17" s="28"/>
      <c r="BE17" s="28"/>
      <c r="BF17" s="28"/>
      <c r="BG17" s="28"/>
      <c r="BH17" s="28"/>
      <c r="BI17" s="28"/>
      <c r="BJ17" s="28"/>
      <c r="BK17" s="28"/>
      <c r="BL17" s="28"/>
      <c r="BM17" s="28"/>
    </row>
    <row r="18" spans="1:65" s="3" customFormat="1" ht="30" customHeight="1" thickBot="1" x14ac:dyDescent="0.3">
      <c r="A18" s="33"/>
      <c r="B18" s="46" t="s">
        <v>63</v>
      </c>
      <c r="C18" s="38" t="s">
        <v>62</v>
      </c>
      <c r="D18" s="38" t="s">
        <v>64</v>
      </c>
      <c r="E18" s="14">
        <v>0.2</v>
      </c>
      <c r="F18" s="53">
        <v>45837</v>
      </c>
      <c r="G18" s="53"/>
      <c r="H18" s="11"/>
      <c r="I18" s="11"/>
      <c r="J18" s="28"/>
      <c r="K18" s="28"/>
      <c r="L18" s="28"/>
      <c r="M18" s="28"/>
      <c r="N18" s="28"/>
      <c r="O18" s="28"/>
      <c r="P18" s="28"/>
      <c r="Q18" s="28"/>
      <c r="R18" s="28"/>
      <c r="S18" s="28"/>
      <c r="T18" s="28"/>
      <c r="U18" s="28"/>
      <c r="V18" s="28"/>
      <c r="W18" s="28"/>
      <c r="X18" s="28"/>
      <c r="Y18" s="28"/>
      <c r="Z18" s="28"/>
      <c r="AA18" s="28"/>
      <c r="AB18" s="28"/>
      <c r="AC18" s="28"/>
      <c r="AD18" s="28"/>
      <c r="AE18" s="28"/>
      <c r="AF18" s="28"/>
      <c r="AG18" s="28"/>
      <c r="AH18" s="28"/>
      <c r="AI18" s="28"/>
      <c r="AJ18" s="28"/>
      <c r="AK18" s="28"/>
      <c r="AL18" s="28"/>
      <c r="AM18" s="28"/>
      <c r="AN18" s="28"/>
      <c r="AO18" s="28"/>
      <c r="AP18" s="28"/>
      <c r="AQ18" s="28"/>
      <c r="AR18" s="28"/>
      <c r="AS18" s="28"/>
      <c r="AT18" s="28"/>
      <c r="AU18" s="28"/>
      <c r="AV18" s="28"/>
      <c r="AW18" s="28"/>
      <c r="AX18" s="28"/>
      <c r="AY18" s="28"/>
      <c r="AZ18" s="28"/>
      <c r="BA18" s="28"/>
      <c r="BB18" s="28"/>
      <c r="BC18" s="28"/>
      <c r="BD18" s="28"/>
      <c r="BE18" s="28"/>
      <c r="BF18" s="28"/>
      <c r="BG18" s="28"/>
      <c r="BH18" s="28"/>
      <c r="BI18" s="28"/>
      <c r="BJ18" s="28"/>
      <c r="BK18" s="28"/>
      <c r="BL18" s="28"/>
      <c r="BM18" s="28"/>
    </row>
    <row r="19" spans="1:65" s="3" customFormat="1" ht="30" customHeight="1" thickBot="1" x14ac:dyDescent="0.3">
      <c r="A19" s="33"/>
      <c r="B19" s="46" t="s">
        <v>59</v>
      </c>
      <c r="C19" s="38" t="s">
        <v>60</v>
      </c>
      <c r="D19" s="38"/>
      <c r="E19" s="14">
        <v>1</v>
      </c>
      <c r="F19" s="53">
        <v>45837</v>
      </c>
      <c r="G19" s="53">
        <v>45837</v>
      </c>
      <c r="H19" s="11"/>
      <c r="I19" s="11"/>
      <c r="J19" s="28"/>
      <c r="K19" s="28"/>
      <c r="L19" s="28"/>
      <c r="M19" s="28"/>
      <c r="N19" s="28"/>
      <c r="O19" s="28"/>
      <c r="P19" s="28"/>
      <c r="Q19" s="28"/>
      <c r="R19" s="28"/>
      <c r="S19" s="28"/>
      <c r="T19" s="28"/>
      <c r="U19" s="28"/>
      <c r="V19" s="28"/>
      <c r="W19" s="28"/>
      <c r="X19" s="28"/>
      <c r="Y19" s="28"/>
      <c r="Z19" s="28"/>
      <c r="AA19" s="28"/>
      <c r="AB19" s="28"/>
      <c r="AC19" s="28"/>
      <c r="AD19" s="28"/>
      <c r="AE19" s="28"/>
      <c r="AF19" s="28"/>
      <c r="AG19" s="28"/>
      <c r="AH19" s="28"/>
      <c r="AI19" s="28"/>
      <c r="AJ19" s="28"/>
      <c r="AK19" s="28"/>
      <c r="AL19" s="28"/>
      <c r="AM19" s="28"/>
      <c r="AN19" s="28"/>
      <c r="AO19" s="28"/>
      <c r="AP19" s="28"/>
      <c r="AQ19" s="28"/>
      <c r="AR19" s="28"/>
      <c r="AS19" s="28"/>
      <c r="AT19" s="28"/>
      <c r="AU19" s="28"/>
      <c r="AV19" s="28"/>
      <c r="AW19" s="28"/>
      <c r="AX19" s="28"/>
      <c r="AY19" s="28"/>
      <c r="AZ19" s="28"/>
      <c r="BA19" s="28"/>
      <c r="BB19" s="28"/>
      <c r="BC19" s="28"/>
      <c r="BD19" s="28"/>
      <c r="BE19" s="28"/>
      <c r="BF19" s="28"/>
      <c r="BG19" s="28"/>
      <c r="BH19" s="28"/>
      <c r="BI19" s="28"/>
      <c r="BJ19" s="28"/>
      <c r="BK19" s="28"/>
      <c r="BL19" s="28"/>
      <c r="BM19" s="28"/>
    </row>
    <row r="20" spans="1:65" s="3" customFormat="1" ht="30" customHeight="1" thickBot="1" x14ac:dyDescent="0.3">
      <c r="A20" s="33" t="s">
        <v>9</v>
      </c>
      <c r="B20" s="46" t="s">
        <v>30</v>
      </c>
      <c r="C20" s="38" t="s">
        <v>27</v>
      </c>
      <c r="D20" s="38"/>
      <c r="E20" s="14">
        <v>0</v>
      </c>
      <c r="F20" s="53">
        <f>G15</f>
        <v>45828</v>
      </c>
      <c r="G20" s="53">
        <f>F20+2</f>
        <v>45830</v>
      </c>
      <c r="H20" s="11"/>
      <c r="I20" s="11">
        <f t="shared" si="6"/>
        <v>3</v>
      </c>
      <c r="J20" s="28"/>
      <c r="K20" s="28"/>
      <c r="L20" s="28"/>
      <c r="M20" s="28"/>
      <c r="N20" s="28"/>
      <c r="O20" s="28"/>
      <c r="P20" s="28"/>
      <c r="Q20" s="28"/>
      <c r="R20" s="28"/>
      <c r="S20" s="28"/>
      <c r="T20" s="28"/>
      <c r="U20" s="28"/>
      <c r="V20" s="29"/>
      <c r="W20" s="29"/>
      <c r="X20" s="28"/>
      <c r="Y20" s="28"/>
      <c r="Z20" s="28"/>
      <c r="AA20" s="28"/>
      <c r="AB20" s="28"/>
      <c r="AC20" s="28"/>
      <c r="AD20" s="28"/>
      <c r="AE20" s="28"/>
      <c r="AF20" s="28"/>
      <c r="AG20" s="28"/>
      <c r="AH20" s="28"/>
      <c r="AI20" s="28"/>
      <c r="AJ20" s="28"/>
      <c r="AK20" s="28"/>
      <c r="AL20" s="28"/>
      <c r="AM20" s="28"/>
      <c r="AN20" s="28"/>
      <c r="AO20" s="28"/>
      <c r="AP20" s="28"/>
      <c r="AQ20" s="28"/>
      <c r="AR20" s="28"/>
      <c r="AS20" s="28"/>
      <c r="AT20" s="28"/>
      <c r="AU20" s="28"/>
      <c r="AV20" s="28"/>
      <c r="AW20" s="28"/>
      <c r="AX20" s="28"/>
      <c r="AY20" s="28"/>
      <c r="AZ20" s="28"/>
      <c r="BA20" s="28"/>
      <c r="BB20" s="28"/>
      <c r="BC20" s="28"/>
      <c r="BD20" s="28"/>
      <c r="BE20" s="28"/>
      <c r="BF20" s="28"/>
      <c r="BG20" s="28"/>
      <c r="BH20" s="28"/>
      <c r="BI20" s="28"/>
      <c r="BJ20" s="28"/>
      <c r="BK20" s="28"/>
      <c r="BL20" s="28"/>
      <c r="BM20" s="28"/>
    </row>
    <row r="21" spans="1:65" s="3" customFormat="1" ht="30" customHeight="1" thickBot="1" x14ac:dyDescent="0.3">
      <c r="A21" s="32"/>
      <c r="B21" s="46" t="s">
        <v>31</v>
      </c>
      <c r="C21" s="38" t="s">
        <v>27</v>
      </c>
      <c r="D21" s="38"/>
      <c r="E21" s="14">
        <v>0</v>
      </c>
      <c r="F21" s="53">
        <f>G20</f>
        <v>45830</v>
      </c>
      <c r="G21" s="53">
        <f>F21+4</f>
        <v>45834</v>
      </c>
      <c r="H21" s="11"/>
      <c r="I21" s="11">
        <f t="shared" si="6"/>
        <v>5</v>
      </c>
      <c r="J21" s="28"/>
      <c r="K21" s="28"/>
      <c r="L21" s="28"/>
      <c r="M21" s="28"/>
      <c r="N21" s="28"/>
      <c r="O21" s="28"/>
      <c r="P21" s="28"/>
      <c r="Q21" s="28"/>
      <c r="R21" s="28"/>
      <c r="S21" s="28"/>
      <c r="T21" s="28"/>
      <c r="U21" s="28"/>
      <c r="V21" s="28"/>
      <c r="W21" s="28"/>
      <c r="X21" s="28"/>
      <c r="Y21" s="28"/>
      <c r="Z21" s="28"/>
      <c r="AA21" s="28"/>
      <c r="AB21" s="28"/>
      <c r="AC21" s="28"/>
      <c r="AD21" s="28"/>
      <c r="AE21" s="28"/>
      <c r="AF21" s="28"/>
      <c r="AG21" s="28"/>
      <c r="AH21" s="28"/>
      <c r="AI21" s="28"/>
      <c r="AJ21" s="28"/>
      <c r="AK21" s="73"/>
      <c r="AL21" s="28"/>
      <c r="AM21" s="28"/>
      <c r="AN21" s="28"/>
      <c r="AO21" s="28"/>
      <c r="AP21" s="28"/>
      <c r="AQ21" s="28"/>
      <c r="AR21" s="28"/>
      <c r="AS21" s="28"/>
      <c r="AT21" s="28"/>
      <c r="AU21" s="28"/>
      <c r="AV21" s="28"/>
      <c r="AW21" s="28"/>
      <c r="AX21" s="28"/>
      <c r="AY21" s="28"/>
      <c r="AZ21" s="28"/>
      <c r="BA21" s="28"/>
      <c r="BB21" s="28"/>
      <c r="BC21" s="28"/>
      <c r="BD21" s="28"/>
      <c r="BE21" s="28"/>
      <c r="BF21" s="28"/>
      <c r="BG21" s="28"/>
      <c r="BH21" s="28"/>
      <c r="BI21" s="28"/>
      <c r="BJ21" s="28"/>
      <c r="BK21" s="28"/>
      <c r="BL21" s="28"/>
      <c r="BM21" s="28"/>
    </row>
    <row r="22" spans="1:65" s="3" customFormat="1" ht="30" customHeight="1" thickBot="1" x14ac:dyDescent="0.3">
      <c r="A22" s="32"/>
      <c r="B22" s="46" t="s">
        <v>38</v>
      </c>
      <c r="C22" s="38" t="s">
        <v>39</v>
      </c>
      <c r="D22" s="38"/>
      <c r="E22" s="14">
        <v>0.5</v>
      </c>
      <c r="F22" s="53">
        <f>G21</f>
        <v>45834</v>
      </c>
      <c r="G22" s="53">
        <f>F22+4</f>
        <v>45838</v>
      </c>
      <c r="H22" s="11"/>
      <c r="I22" s="11"/>
      <c r="J22" s="28"/>
      <c r="K22" s="28"/>
      <c r="L22" s="28"/>
      <c r="M22" s="28"/>
      <c r="N22" s="28"/>
      <c r="O22" s="28"/>
      <c r="P22" s="28"/>
      <c r="Q22" s="28"/>
      <c r="R22" s="28"/>
      <c r="S22" s="28"/>
      <c r="T22" s="28"/>
      <c r="U22" s="28"/>
      <c r="V22" s="28"/>
      <c r="W22" s="28"/>
      <c r="X22" s="28"/>
      <c r="Y22" s="28"/>
      <c r="Z22" s="28"/>
      <c r="AA22" s="28"/>
      <c r="AB22" s="28"/>
      <c r="AC22" s="28"/>
      <c r="AD22" s="28"/>
      <c r="AE22" s="28"/>
      <c r="AF22" s="28"/>
      <c r="AG22" s="28"/>
      <c r="AH22" s="28"/>
      <c r="AI22" s="28"/>
      <c r="AJ22" s="28"/>
      <c r="AK22" s="73"/>
      <c r="AL22" s="28"/>
      <c r="AM22" s="28"/>
      <c r="AN22" s="28"/>
      <c r="AO22" s="28"/>
      <c r="AP22" s="28"/>
      <c r="AQ22" s="28"/>
      <c r="AR22" s="28"/>
      <c r="AS22" s="28"/>
      <c r="AT22" s="28"/>
      <c r="AU22" s="28"/>
      <c r="AV22" s="28"/>
      <c r="AW22" s="28"/>
      <c r="AX22" s="28"/>
      <c r="AY22" s="28"/>
      <c r="AZ22" s="28"/>
      <c r="BA22" s="28"/>
      <c r="BB22" s="28"/>
      <c r="BC22" s="28"/>
      <c r="BD22" s="28"/>
      <c r="BE22" s="28"/>
      <c r="BF22" s="28"/>
      <c r="BG22" s="28"/>
      <c r="BH22" s="28"/>
      <c r="BI22" s="28"/>
      <c r="BJ22" s="28"/>
      <c r="BK22" s="28"/>
      <c r="BL22" s="28"/>
      <c r="BM22" s="28"/>
    </row>
    <row r="23" spans="1:65" s="3" customFormat="1" ht="30" customHeight="1" thickBot="1" x14ac:dyDescent="0.3">
      <c r="A23" s="32"/>
      <c r="B23" s="46" t="s">
        <v>32</v>
      </c>
      <c r="C23" s="38" t="s">
        <v>27</v>
      </c>
      <c r="D23" s="38"/>
      <c r="E23" s="14">
        <v>0</v>
      </c>
      <c r="F23" s="53">
        <f>G21</f>
        <v>45834</v>
      </c>
      <c r="G23" s="53">
        <f>F23+5</f>
        <v>45839</v>
      </c>
      <c r="H23" s="11"/>
      <c r="I23" s="11">
        <f t="shared" si="6"/>
        <v>6</v>
      </c>
      <c r="J23" s="28"/>
      <c r="K23" s="28"/>
      <c r="L23" s="28"/>
      <c r="M23" s="28"/>
      <c r="N23" s="28"/>
      <c r="O23" s="28"/>
      <c r="P23" s="28"/>
      <c r="Q23" s="28"/>
      <c r="R23" s="28"/>
      <c r="S23" s="28"/>
      <c r="T23" s="28"/>
      <c r="U23" s="28"/>
      <c r="V23" s="28"/>
      <c r="W23" s="28"/>
      <c r="X23" s="28"/>
      <c r="Y23" s="28"/>
      <c r="Z23" s="29"/>
      <c r="AA23" s="28"/>
      <c r="AB23" s="28"/>
      <c r="AC23" s="28"/>
      <c r="AD23" s="28"/>
      <c r="AE23" s="28"/>
      <c r="AF23" s="28"/>
      <c r="AG23" s="28"/>
      <c r="AH23" s="28"/>
      <c r="AI23" s="28"/>
      <c r="AJ23" s="28"/>
      <c r="AK23" s="28"/>
      <c r="AL23" s="28"/>
      <c r="AM23" s="28"/>
      <c r="AN23" s="28"/>
      <c r="AO23" s="28"/>
      <c r="AP23" s="28"/>
      <c r="AQ23" s="28"/>
      <c r="AR23" s="28"/>
      <c r="AS23" s="28"/>
      <c r="AT23" s="28"/>
      <c r="AU23" s="28"/>
      <c r="AV23" s="28"/>
      <c r="AW23" s="28"/>
      <c r="AX23" s="28"/>
      <c r="AY23" s="28"/>
      <c r="AZ23" s="28"/>
      <c r="BA23" s="28"/>
      <c r="BB23" s="28"/>
      <c r="BC23" s="28"/>
      <c r="BD23" s="28"/>
      <c r="BE23" s="28"/>
      <c r="BF23" s="28"/>
      <c r="BG23" s="28"/>
      <c r="BH23" s="28"/>
      <c r="BI23" s="28"/>
      <c r="BJ23" s="28"/>
      <c r="BK23" s="28"/>
      <c r="BL23" s="28"/>
      <c r="BM23" s="28"/>
    </row>
    <row r="24" spans="1:65" s="3" customFormat="1" ht="30" customHeight="1" thickBot="1" x14ac:dyDescent="0.3">
      <c r="A24" s="32"/>
      <c r="B24" s="46" t="s">
        <v>34</v>
      </c>
      <c r="C24" s="38" t="s">
        <v>27</v>
      </c>
      <c r="D24" s="38"/>
      <c r="E24" s="14">
        <v>0</v>
      </c>
      <c r="F24" s="53">
        <f>F20+1</f>
        <v>45829</v>
      </c>
      <c r="G24" s="53">
        <f>F24+2</f>
        <v>45831</v>
      </c>
      <c r="H24" s="11"/>
      <c r="I24" s="11">
        <f t="shared" si="6"/>
        <v>3</v>
      </c>
      <c r="J24" s="28"/>
      <c r="K24" s="28"/>
      <c r="L24" s="28"/>
      <c r="M24" s="28"/>
      <c r="N24" s="28"/>
      <c r="O24" s="28"/>
      <c r="P24" s="28"/>
      <c r="Q24" s="28"/>
      <c r="R24" s="28"/>
      <c r="S24" s="28"/>
      <c r="T24" s="28"/>
      <c r="U24" s="28"/>
      <c r="V24" s="28"/>
      <c r="W24" s="28"/>
      <c r="X24" s="28"/>
      <c r="Y24" s="28"/>
      <c r="Z24" s="28"/>
      <c r="AA24" s="28"/>
      <c r="AB24" s="28"/>
      <c r="AC24" s="28"/>
      <c r="AD24" s="28"/>
      <c r="AE24" s="28"/>
      <c r="AF24" s="28"/>
      <c r="AG24" s="28"/>
      <c r="AH24" s="28"/>
      <c r="AI24" s="28"/>
      <c r="AJ24" s="28"/>
      <c r="AK24" s="28"/>
      <c r="AL24" s="28"/>
      <c r="AM24" s="28"/>
      <c r="AN24" s="28"/>
      <c r="AO24" s="28"/>
      <c r="AP24" s="28"/>
      <c r="AQ24" s="28"/>
      <c r="AR24" s="28"/>
      <c r="AS24" s="28"/>
      <c r="AT24" s="28"/>
      <c r="AU24" s="28"/>
      <c r="AV24" s="28"/>
      <c r="AW24" s="28"/>
      <c r="AX24" s="28"/>
      <c r="AY24" s="28"/>
      <c r="AZ24" s="28"/>
      <c r="BA24" s="28"/>
      <c r="BB24" s="28"/>
      <c r="BC24" s="28"/>
      <c r="BD24" s="28"/>
      <c r="BE24" s="28"/>
      <c r="BF24" s="28"/>
      <c r="BG24" s="28"/>
      <c r="BH24" s="28"/>
      <c r="BI24" s="28"/>
      <c r="BJ24" s="28"/>
      <c r="BK24" s="28"/>
      <c r="BL24" s="28"/>
      <c r="BM24" s="28"/>
    </row>
    <row r="25" spans="1:65" s="3" customFormat="1" ht="30" customHeight="1" thickBot="1" x14ac:dyDescent="0.3">
      <c r="A25" s="32" t="s">
        <v>11</v>
      </c>
      <c r="B25" s="80" t="s">
        <v>56</v>
      </c>
      <c r="C25" s="81"/>
      <c r="D25" s="81"/>
      <c r="E25" s="82"/>
      <c r="F25" s="83"/>
      <c r="G25" s="84"/>
      <c r="H25" s="11"/>
      <c r="I25" s="11" t="str">
        <f t="shared" si="6"/>
        <v/>
      </c>
      <c r="J25" s="28"/>
      <c r="K25" s="28"/>
      <c r="L25" s="28"/>
      <c r="M25" s="28"/>
      <c r="N25" s="28"/>
      <c r="O25" s="28"/>
      <c r="P25" s="28"/>
      <c r="Q25" s="28"/>
      <c r="R25" s="28"/>
      <c r="S25" s="28"/>
      <c r="T25" s="28"/>
      <c r="U25" s="28"/>
      <c r="V25" s="28"/>
      <c r="W25" s="28"/>
      <c r="X25" s="28"/>
      <c r="Y25" s="28"/>
      <c r="Z25" s="28"/>
      <c r="AA25" s="28"/>
      <c r="AB25" s="28"/>
      <c r="AC25" s="28"/>
      <c r="AD25" s="28"/>
      <c r="AE25" s="28"/>
      <c r="AF25" s="28"/>
      <c r="AG25" s="28"/>
      <c r="AH25" s="28"/>
      <c r="AI25" s="28"/>
      <c r="AJ25" s="28"/>
      <c r="AK25" s="28"/>
      <c r="AL25" s="28"/>
      <c r="AM25" s="28"/>
      <c r="AN25" s="28"/>
      <c r="AO25" s="28"/>
      <c r="AP25" s="28"/>
      <c r="AQ25" s="28"/>
      <c r="AR25" s="28"/>
      <c r="AS25" s="28"/>
      <c r="AT25" s="28"/>
      <c r="AU25" s="28"/>
      <c r="AV25" s="28"/>
      <c r="AW25" s="28"/>
      <c r="AX25" s="28"/>
      <c r="AY25" s="28"/>
      <c r="AZ25" s="28"/>
      <c r="BA25" s="28"/>
      <c r="BB25" s="28"/>
      <c r="BC25" s="28"/>
      <c r="BD25" s="28"/>
      <c r="BE25" s="28"/>
      <c r="BF25" s="28"/>
      <c r="BG25" s="28"/>
      <c r="BH25" s="28"/>
      <c r="BI25" s="28"/>
      <c r="BJ25" s="28"/>
      <c r="BK25" s="28"/>
      <c r="BL25" s="28"/>
      <c r="BM25" s="28"/>
    </row>
    <row r="26" spans="1:65" s="3" customFormat="1" ht="30" customHeight="1" thickBot="1" x14ac:dyDescent="0.3">
      <c r="A26" s="32"/>
      <c r="B26" s="76" t="s">
        <v>71</v>
      </c>
      <c r="C26" s="77" t="s">
        <v>72</v>
      </c>
      <c r="D26" s="77" t="s">
        <v>74</v>
      </c>
      <c r="E26" s="78">
        <v>1</v>
      </c>
      <c r="F26" s="79">
        <v>45858</v>
      </c>
      <c r="G26" s="79">
        <f>F26+4</f>
        <v>45862</v>
      </c>
      <c r="H26" s="11"/>
      <c r="I26" s="11">
        <f t="shared" si="6"/>
        <v>5</v>
      </c>
      <c r="J26" s="28"/>
      <c r="K26" s="28"/>
      <c r="L26" s="28"/>
      <c r="M26" s="28"/>
      <c r="N26" s="28"/>
      <c r="O26" s="28"/>
      <c r="P26" s="28"/>
      <c r="Q26" s="28"/>
      <c r="R26" s="28"/>
      <c r="S26" s="28"/>
      <c r="T26" s="28"/>
      <c r="U26" s="28"/>
      <c r="V26" s="28"/>
      <c r="W26" s="28"/>
      <c r="X26" s="28"/>
      <c r="Y26" s="28"/>
      <c r="Z26" s="28"/>
      <c r="AA26" s="28"/>
      <c r="AB26" s="28"/>
      <c r="AC26" s="28"/>
      <c r="AD26" s="28"/>
      <c r="AE26" s="28"/>
      <c r="AF26" s="28"/>
      <c r="AG26" s="28"/>
      <c r="AH26" s="28"/>
      <c r="AI26" s="28"/>
      <c r="AJ26" s="28"/>
      <c r="AK26" s="28"/>
      <c r="AL26" s="28"/>
      <c r="AM26" s="28"/>
      <c r="AN26" s="28"/>
      <c r="AO26" s="28"/>
      <c r="AP26" s="28"/>
      <c r="AQ26" s="28"/>
      <c r="AR26" s="28"/>
      <c r="AS26" s="28"/>
      <c r="AT26" s="28"/>
      <c r="AU26" s="28"/>
      <c r="AV26" s="28"/>
      <c r="AW26" s="28"/>
      <c r="AX26" s="28"/>
      <c r="AY26" s="28"/>
      <c r="AZ26" s="28"/>
      <c r="BA26" s="28"/>
      <c r="BB26" s="28"/>
      <c r="BC26" s="28"/>
      <c r="BD26" s="28"/>
      <c r="BE26" s="28"/>
      <c r="BF26" s="28"/>
      <c r="BG26" s="28"/>
      <c r="BH26" s="28"/>
      <c r="BI26" s="28"/>
      <c r="BJ26" s="28"/>
      <c r="BK26" s="28"/>
      <c r="BL26" s="28"/>
      <c r="BM26" s="28"/>
    </row>
    <row r="27" spans="1:65" s="3" customFormat="1" ht="30" customHeight="1" thickBot="1" x14ac:dyDescent="0.3">
      <c r="A27" s="32"/>
      <c r="B27" s="76" t="s">
        <v>70</v>
      </c>
      <c r="C27" s="77" t="s">
        <v>75</v>
      </c>
      <c r="D27" s="77" t="s">
        <v>76</v>
      </c>
      <c r="E27" s="78">
        <v>1</v>
      </c>
      <c r="F27" s="79">
        <v>45829</v>
      </c>
      <c r="G27" s="79">
        <v>45829</v>
      </c>
      <c r="H27" s="11"/>
      <c r="I27" s="11">
        <f t="shared" si="6"/>
        <v>1</v>
      </c>
      <c r="J27" s="28"/>
      <c r="K27" s="28"/>
      <c r="L27" s="28"/>
      <c r="M27" s="28"/>
      <c r="N27" s="28"/>
      <c r="O27" s="28"/>
      <c r="P27" s="28"/>
      <c r="Q27" s="28"/>
      <c r="R27" s="28"/>
      <c r="S27" s="28"/>
      <c r="T27" s="28"/>
      <c r="U27" s="28"/>
      <c r="V27" s="28"/>
      <c r="W27" s="28"/>
      <c r="X27" s="28"/>
      <c r="Y27" s="28"/>
      <c r="Z27" s="28"/>
      <c r="AA27" s="28"/>
      <c r="AB27" s="28"/>
      <c r="AC27" s="28"/>
      <c r="AD27" s="28"/>
      <c r="AE27" s="28"/>
      <c r="AF27" s="28"/>
      <c r="AG27" s="28"/>
      <c r="AH27" s="28"/>
      <c r="AI27" s="28"/>
      <c r="AJ27" s="28"/>
      <c r="AK27" s="28"/>
      <c r="AL27" s="28"/>
      <c r="AM27" s="28"/>
      <c r="AN27" s="28"/>
      <c r="AO27" s="28"/>
      <c r="AP27" s="28"/>
      <c r="AQ27" s="28"/>
      <c r="AR27" s="28"/>
      <c r="AS27" s="28"/>
      <c r="AT27" s="28"/>
      <c r="AU27" s="28"/>
      <c r="AV27" s="28"/>
      <c r="AW27" s="28"/>
      <c r="AX27" s="28"/>
      <c r="AY27" s="28"/>
      <c r="AZ27" s="28"/>
      <c r="BA27" s="28"/>
      <c r="BB27" s="28"/>
      <c r="BC27" s="28"/>
      <c r="BD27" s="28"/>
      <c r="BE27" s="28"/>
      <c r="BF27" s="28"/>
      <c r="BG27" s="28"/>
      <c r="BH27" s="28"/>
      <c r="BI27" s="28"/>
      <c r="BJ27" s="28"/>
      <c r="BK27" s="28"/>
      <c r="BL27" s="28"/>
      <c r="BM27" s="28"/>
    </row>
    <row r="28" spans="1:65" s="3" customFormat="1" ht="30" customHeight="1" thickBot="1" x14ac:dyDescent="0.3">
      <c r="A28" s="32"/>
      <c r="B28" s="76" t="s">
        <v>69</v>
      </c>
      <c r="C28" s="77" t="s">
        <v>72</v>
      </c>
      <c r="D28" s="77" t="s">
        <v>73</v>
      </c>
      <c r="E28" s="78">
        <v>1</v>
      </c>
      <c r="F28" s="79">
        <f>G27+1</f>
        <v>45830</v>
      </c>
      <c r="G28" s="79">
        <f>F28+4</f>
        <v>45834</v>
      </c>
      <c r="H28" s="11"/>
      <c r="I28" s="11">
        <f t="shared" si="6"/>
        <v>5</v>
      </c>
      <c r="J28" s="28"/>
      <c r="K28" s="28"/>
      <c r="L28" s="28"/>
      <c r="M28" s="28"/>
      <c r="N28" s="28"/>
      <c r="O28" s="28"/>
      <c r="P28" s="28"/>
      <c r="Q28" s="28"/>
      <c r="R28" s="28"/>
      <c r="S28" s="28"/>
      <c r="T28" s="28"/>
      <c r="U28" s="28"/>
      <c r="V28" s="28"/>
      <c r="W28" s="28"/>
      <c r="X28" s="28"/>
      <c r="Y28" s="28"/>
      <c r="Z28" s="28"/>
      <c r="AA28" s="28"/>
      <c r="AB28" s="28"/>
      <c r="AC28" s="28"/>
      <c r="AD28" s="28"/>
      <c r="AE28" s="28"/>
      <c r="AF28" s="28"/>
      <c r="AG28" s="28"/>
      <c r="AH28" s="28"/>
      <c r="AI28" s="28"/>
      <c r="AJ28" s="28"/>
      <c r="AK28" s="28"/>
      <c r="AL28" s="28"/>
      <c r="AM28" s="28"/>
      <c r="AN28" s="28"/>
      <c r="AO28" s="28"/>
      <c r="AP28" s="28"/>
      <c r="AQ28" s="28"/>
      <c r="AR28" s="28"/>
      <c r="AS28" s="28"/>
      <c r="AT28" s="28"/>
      <c r="AU28" s="28"/>
      <c r="AV28" s="28"/>
      <c r="AW28" s="28"/>
      <c r="AX28" s="28"/>
      <c r="AY28" s="28"/>
      <c r="AZ28" s="28"/>
      <c r="BA28" s="28"/>
      <c r="BB28" s="28"/>
      <c r="BC28" s="28"/>
      <c r="BD28" s="28"/>
      <c r="BE28" s="28"/>
      <c r="BF28" s="28"/>
      <c r="BG28" s="28"/>
      <c r="BH28" s="28"/>
      <c r="BI28" s="28"/>
      <c r="BJ28" s="28"/>
      <c r="BK28" s="28"/>
      <c r="BL28" s="28"/>
      <c r="BM28" s="28"/>
    </row>
    <row r="29" spans="1:65" s="3" customFormat="1" ht="30" customHeight="1" thickBot="1" x14ac:dyDescent="0.3">
      <c r="A29" s="32"/>
      <c r="B29" s="76" t="s">
        <v>77</v>
      </c>
      <c r="C29" s="77" t="s">
        <v>44</v>
      </c>
      <c r="D29" s="77" t="s">
        <v>78</v>
      </c>
      <c r="E29" s="78">
        <v>1</v>
      </c>
      <c r="F29" s="79">
        <v>45858</v>
      </c>
      <c r="G29" s="79">
        <v>45858</v>
      </c>
      <c r="H29" s="11"/>
      <c r="I29" s="11">
        <f t="shared" si="6"/>
        <v>1</v>
      </c>
      <c r="J29" s="28"/>
      <c r="K29" s="28"/>
      <c r="L29" s="28"/>
      <c r="M29" s="28"/>
      <c r="N29" s="28"/>
      <c r="O29" s="28"/>
      <c r="P29" s="28"/>
      <c r="Q29" s="28"/>
      <c r="R29" s="28"/>
      <c r="S29" s="28"/>
      <c r="T29" s="28"/>
      <c r="U29" s="28"/>
      <c r="V29" s="28"/>
      <c r="W29" s="28"/>
      <c r="X29" s="28"/>
      <c r="Y29" s="28"/>
      <c r="Z29" s="28"/>
      <c r="AA29" s="28"/>
      <c r="AB29" s="28"/>
      <c r="AC29" s="28"/>
      <c r="AD29" s="28"/>
      <c r="AE29" s="28"/>
      <c r="AF29" s="28"/>
      <c r="AG29" s="28"/>
      <c r="AH29" s="28"/>
      <c r="AI29" s="28"/>
      <c r="AJ29" s="28"/>
      <c r="AK29" s="28"/>
      <c r="AL29" s="28"/>
      <c r="AM29" s="28"/>
      <c r="AN29" s="28"/>
      <c r="AO29" s="28"/>
      <c r="AP29" s="28"/>
      <c r="AQ29" s="28"/>
      <c r="AR29" s="28"/>
      <c r="AS29" s="28"/>
      <c r="AT29" s="28"/>
      <c r="AU29" s="28"/>
      <c r="AV29" s="28"/>
      <c r="AW29" s="28"/>
      <c r="AX29" s="28"/>
      <c r="AY29" s="28"/>
      <c r="AZ29" s="28"/>
      <c r="BA29" s="28"/>
      <c r="BB29" s="28"/>
      <c r="BC29" s="28"/>
      <c r="BD29" s="28"/>
      <c r="BE29" s="28"/>
      <c r="BF29" s="28"/>
      <c r="BG29" s="28"/>
      <c r="BH29" s="28"/>
      <c r="BI29" s="28"/>
      <c r="BJ29" s="28"/>
      <c r="BK29" s="28"/>
      <c r="BL29" s="28"/>
      <c r="BM29" s="28"/>
    </row>
    <row r="30" spans="1:65" s="3" customFormat="1" ht="30" customHeight="1" thickBot="1" x14ac:dyDescent="0.3">
      <c r="A30" s="32" t="s">
        <v>11</v>
      </c>
      <c r="B30" s="18" t="s">
        <v>45</v>
      </c>
      <c r="C30" s="41"/>
      <c r="D30" s="41"/>
      <c r="E30" s="19"/>
      <c r="F30" s="57"/>
      <c r="G30" s="58"/>
      <c r="H30" s="11"/>
      <c r="I30" s="11" t="str">
        <f t="shared" si="6"/>
        <v/>
      </c>
      <c r="J30" s="28"/>
      <c r="K30" s="28"/>
      <c r="L30" s="28"/>
      <c r="M30" s="28"/>
      <c r="N30" s="28"/>
      <c r="O30" s="28"/>
      <c r="P30" s="28"/>
      <c r="Q30" s="28"/>
      <c r="R30" s="28"/>
      <c r="S30" s="28"/>
      <c r="T30" s="28"/>
      <c r="U30" s="28"/>
      <c r="V30" s="28"/>
      <c r="W30" s="28"/>
      <c r="X30" s="28"/>
      <c r="Y30" s="28"/>
      <c r="Z30" s="28"/>
      <c r="AA30" s="28"/>
      <c r="AB30" s="28"/>
      <c r="AC30" s="28"/>
      <c r="AD30" s="28"/>
      <c r="AE30" s="28"/>
      <c r="AF30" s="28"/>
      <c r="AG30" s="28"/>
      <c r="AH30" s="28"/>
      <c r="AI30" s="28"/>
      <c r="AJ30" s="28"/>
      <c r="AK30" s="28"/>
      <c r="AL30" s="28"/>
      <c r="AM30" s="28"/>
      <c r="AN30" s="28"/>
      <c r="AO30" s="28"/>
      <c r="AP30" s="28"/>
      <c r="AQ30" s="28"/>
      <c r="AR30" s="28"/>
      <c r="AS30" s="28"/>
      <c r="AT30" s="28"/>
      <c r="AU30" s="28"/>
      <c r="AV30" s="28"/>
      <c r="AW30" s="28"/>
      <c r="AX30" s="28"/>
      <c r="AY30" s="28"/>
      <c r="AZ30" s="28"/>
      <c r="BA30" s="28"/>
      <c r="BB30" s="28"/>
      <c r="BC30" s="28"/>
      <c r="BD30" s="28"/>
      <c r="BE30" s="28"/>
      <c r="BF30" s="28"/>
      <c r="BG30" s="28"/>
      <c r="BH30" s="28"/>
      <c r="BI30" s="28"/>
      <c r="BJ30" s="28"/>
      <c r="BK30" s="28"/>
      <c r="BL30" s="28"/>
      <c r="BM30" s="28"/>
    </row>
    <row r="31" spans="1:65" s="3" customFormat="1" ht="30" customHeight="1" thickBot="1" x14ac:dyDescent="0.3">
      <c r="A31" s="32"/>
      <c r="B31" s="88" t="s">
        <v>38</v>
      </c>
      <c r="C31" s="42" t="s">
        <v>39</v>
      </c>
      <c r="D31" s="42" t="s">
        <v>79</v>
      </c>
      <c r="E31" s="20">
        <v>1</v>
      </c>
      <c r="F31" s="59">
        <f>F15+15</f>
        <v>45837</v>
      </c>
      <c r="G31" s="59">
        <f>F31+5</f>
        <v>45842</v>
      </c>
      <c r="H31" s="11"/>
      <c r="I31" s="11">
        <f t="shared" si="6"/>
        <v>6</v>
      </c>
      <c r="J31" s="28"/>
      <c r="K31" s="28"/>
      <c r="L31" s="28"/>
      <c r="M31" s="28"/>
      <c r="N31" s="28"/>
      <c r="O31" s="28"/>
      <c r="P31" s="28"/>
      <c r="Q31" s="28"/>
      <c r="R31" s="28"/>
      <c r="S31" s="28"/>
      <c r="T31" s="28"/>
      <c r="U31" s="28"/>
      <c r="V31" s="28"/>
      <c r="W31" s="28"/>
      <c r="X31" s="28"/>
      <c r="Y31" s="28"/>
      <c r="Z31" s="28"/>
      <c r="AA31" s="28"/>
      <c r="AB31" s="28"/>
      <c r="AC31" s="28"/>
      <c r="AD31" s="28"/>
      <c r="AE31" s="28"/>
      <c r="AF31" s="28"/>
      <c r="AG31" s="28"/>
      <c r="AH31" s="28"/>
      <c r="AI31" s="28"/>
      <c r="AJ31" s="28"/>
      <c r="AK31" s="28"/>
      <c r="AL31" s="28"/>
      <c r="AM31" s="28"/>
      <c r="AN31" s="28"/>
      <c r="AO31" s="28"/>
      <c r="AP31" s="28"/>
      <c r="AQ31" s="28"/>
      <c r="AR31" s="28"/>
      <c r="AS31" s="28"/>
      <c r="AT31" s="28"/>
      <c r="AU31" s="28"/>
      <c r="AV31" s="28"/>
      <c r="AW31" s="28"/>
      <c r="AX31" s="28"/>
      <c r="AY31" s="28"/>
      <c r="AZ31" s="28"/>
      <c r="BA31" s="28"/>
      <c r="BB31" s="28"/>
      <c r="BC31" s="28"/>
      <c r="BD31" s="28"/>
      <c r="BE31" s="28"/>
      <c r="BF31" s="28"/>
      <c r="BG31" s="28"/>
      <c r="BH31" s="28"/>
      <c r="BI31" s="28"/>
      <c r="BJ31" s="28"/>
      <c r="BK31" s="28"/>
      <c r="BL31" s="28"/>
      <c r="BM31" s="28"/>
    </row>
    <row r="32" spans="1:65" s="3" customFormat="1" ht="30" customHeight="1" thickBot="1" x14ac:dyDescent="0.3">
      <c r="A32" s="32"/>
      <c r="B32" s="48" t="s">
        <v>86</v>
      </c>
      <c r="C32" s="42" t="s">
        <v>87</v>
      </c>
      <c r="D32" s="42" t="s">
        <v>88</v>
      </c>
      <c r="E32" s="20"/>
      <c r="F32" s="59"/>
      <c r="G32" s="59"/>
      <c r="H32" s="11"/>
      <c r="I32" s="11"/>
      <c r="J32" s="28"/>
      <c r="K32" s="28"/>
      <c r="L32" s="28"/>
      <c r="M32" s="28"/>
      <c r="N32" s="28"/>
      <c r="O32" s="28"/>
      <c r="P32" s="28"/>
      <c r="Q32" s="28"/>
      <c r="R32" s="28"/>
      <c r="S32" s="28"/>
      <c r="T32" s="28"/>
      <c r="U32" s="28"/>
      <c r="V32" s="28"/>
      <c r="W32" s="28"/>
      <c r="X32" s="28"/>
      <c r="Y32" s="28"/>
      <c r="Z32" s="28"/>
      <c r="AA32" s="28"/>
      <c r="AB32" s="28"/>
      <c r="AC32" s="28"/>
      <c r="AD32" s="28"/>
      <c r="AE32" s="28"/>
      <c r="AF32" s="28"/>
      <c r="AG32" s="28"/>
      <c r="AH32" s="28"/>
      <c r="AI32" s="28"/>
      <c r="AJ32" s="28"/>
      <c r="AK32" s="28"/>
      <c r="AL32" s="28"/>
      <c r="AM32" s="28"/>
      <c r="AN32" s="28"/>
      <c r="AO32" s="28"/>
      <c r="AP32" s="28"/>
      <c r="AQ32" s="28"/>
      <c r="AR32" s="28"/>
      <c r="AS32" s="28"/>
      <c r="AT32" s="28"/>
      <c r="AU32" s="28"/>
      <c r="AV32" s="28"/>
      <c r="AW32" s="28"/>
      <c r="AX32" s="28"/>
      <c r="AY32" s="28"/>
      <c r="AZ32" s="28"/>
      <c r="BA32" s="28"/>
      <c r="BB32" s="28"/>
      <c r="BC32" s="28"/>
      <c r="BD32" s="28"/>
      <c r="BE32" s="28"/>
      <c r="BF32" s="28"/>
      <c r="BG32" s="28"/>
      <c r="BH32" s="28"/>
      <c r="BI32" s="28"/>
      <c r="BJ32" s="28"/>
      <c r="BK32" s="28"/>
      <c r="BL32" s="28"/>
      <c r="BM32" s="28"/>
    </row>
    <row r="33" spans="1:65" s="3" customFormat="1" ht="30" customHeight="1" thickBot="1" x14ac:dyDescent="0.3">
      <c r="A33" s="32"/>
      <c r="B33" s="88" t="s">
        <v>51</v>
      </c>
      <c r="C33" s="42" t="s">
        <v>39</v>
      </c>
      <c r="D33" s="42" t="s">
        <v>43</v>
      </c>
      <c r="E33" s="20">
        <v>1</v>
      </c>
      <c r="F33" s="59">
        <v>45829</v>
      </c>
      <c r="G33" s="59">
        <v>45829</v>
      </c>
      <c r="H33" s="11"/>
      <c r="I33" s="11">
        <f t="shared" si="6"/>
        <v>1</v>
      </c>
      <c r="J33" s="28"/>
      <c r="K33" s="28"/>
      <c r="L33" s="28"/>
      <c r="M33" s="28"/>
      <c r="N33" s="28"/>
      <c r="O33" s="28"/>
      <c r="P33" s="28"/>
      <c r="Q33" s="28"/>
      <c r="R33" s="28"/>
      <c r="S33" s="28"/>
      <c r="T33" s="28"/>
      <c r="U33" s="28"/>
      <c r="V33" s="28"/>
      <c r="W33" s="28"/>
      <c r="X33" s="28"/>
      <c r="Y33" s="28"/>
      <c r="Z33" s="28"/>
      <c r="AA33" s="28"/>
      <c r="AB33" s="28"/>
      <c r="AC33" s="28"/>
      <c r="AD33" s="28"/>
      <c r="AE33" s="28"/>
      <c r="AF33" s="28"/>
      <c r="AG33" s="28"/>
      <c r="AH33" s="28"/>
      <c r="AI33" s="28"/>
      <c r="AJ33" s="28"/>
      <c r="AK33" s="28"/>
      <c r="AL33" s="28"/>
      <c r="AM33" s="28"/>
      <c r="AN33" s="28"/>
      <c r="AO33" s="28"/>
      <c r="AP33" s="28"/>
      <c r="AQ33" s="28"/>
      <c r="AR33" s="28"/>
      <c r="AS33" s="28"/>
      <c r="AT33" s="28"/>
      <c r="AU33" s="28"/>
      <c r="AV33" s="28"/>
      <c r="AW33" s="28"/>
      <c r="AX33" s="28"/>
      <c r="AY33" s="28"/>
      <c r="AZ33" s="28"/>
      <c r="BA33" s="28"/>
      <c r="BB33" s="28"/>
      <c r="BC33" s="28"/>
      <c r="BD33" s="28"/>
      <c r="BE33" s="28"/>
      <c r="BF33" s="28"/>
      <c r="BG33" s="28"/>
      <c r="BH33" s="28"/>
      <c r="BI33" s="28"/>
      <c r="BJ33" s="28"/>
      <c r="BK33" s="28"/>
      <c r="BL33" s="28"/>
      <c r="BM33" s="28"/>
    </row>
    <row r="34" spans="1:65" s="3" customFormat="1" ht="30" customHeight="1" thickBot="1" x14ac:dyDescent="0.3">
      <c r="A34" s="32"/>
      <c r="B34" s="88" t="s">
        <v>84</v>
      </c>
      <c r="C34" s="42" t="s">
        <v>39</v>
      </c>
      <c r="D34" s="42" t="s">
        <v>85</v>
      </c>
      <c r="E34" s="20">
        <v>1</v>
      </c>
      <c r="F34" s="59">
        <v>45829</v>
      </c>
      <c r="G34" s="59">
        <v>45829</v>
      </c>
      <c r="H34" s="11"/>
      <c r="I34" s="11"/>
      <c r="J34" s="28"/>
      <c r="K34" s="28"/>
      <c r="L34" s="28"/>
      <c r="M34" s="28"/>
      <c r="N34" s="28"/>
      <c r="O34" s="28"/>
      <c r="P34" s="28"/>
      <c r="Q34" s="28"/>
      <c r="R34" s="28"/>
      <c r="S34" s="28"/>
      <c r="T34" s="28"/>
      <c r="U34" s="28"/>
      <c r="V34" s="28"/>
      <c r="W34" s="28"/>
      <c r="X34" s="28"/>
      <c r="Y34" s="28"/>
      <c r="Z34" s="28"/>
      <c r="AA34" s="28"/>
      <c r="AB34" s="28"/>
      <c r="AC34" s="28"/>
      <c r="AD34" s="28"/>
      <c r="AE34" s="28"/>
      <c r="AF34" s="28"/>
      <c r="AG34" s="28"/>
      <c r="AH34" s="28"/>
      <c r="AI34" s="28"/>
      <c r="AJ34" s="28"/>
      <c r="AK34" s="28"/>
      <c r="AL34" s="28"/>
      <c r="AM34" s="28"/>
      <c r="AN34" s="28"/>
      <c r="AO34" s="28"/>
      <c r="AP34" s="28"/>
      <c r="AQ34" s="28"/>
      <c r="AR34" s="28"/>
      <c r="AS34" s="28"/>
      <c r="AT34" s="28"/>
      <c r="AU34" s="28"/>
      <c r="AV34" s="28"/>
      <c r="AW34" s="28"/>
      <c r="AX34" s="28"/>
      <c r="AY34" s="28"/>
      <c r="AZ34" s="28"/>
      <c r="BA34" s="28"/>
      <c r="BB34" s="28"/>
      <c r="BC34" s="28"/>
      <c r="BD34" s="28"/>
      <c r="BE34" s="28"/>
      <c r="BF34" s="28"/>
      <c r="BG34" s="28"/>
      <c r="BH34" s="28"/>
      <c r="BI34" s="28"/>
      <c r="BJ34" s="28"/>
      <c r="BK34" s="28"/>
      <c r="BL34" s="28"/>
      <c r="BM34" s="28"/>
    </row>
    <row r="35" spans="1:65" s="3" customFormat="1" ht="30" customHeight="1" thickBot="1" x14ac:dyDescent="0.3">
      <c r="A35" s="32"/>
      <c r="B35" s="88" t="s">
        <v>40</v>
      </c>
      <c r="C35" s="42" t="s">
        <v>27</v>
      </c>
      <c r="D35" s="42" t="s">
        <v>68</v>
      </c>
      <c r="E35" s="20">
        <v>1</v>
      </c>
      <c r="F35" s="59">
        <v>45837</v>
      </c>
      <c r="G35" s="59">
        <v>45851</v>
      </c>
      <c r="H35" s="11"/>
      <c r="I35" s="11">
        <f t="shared" si="6"/>
        <v>15</v>
      </c>
      <c r="J35" s="28"/>
      <c r="K35" s="28"/>
      <c r="L35" s="28"/>
      <c r="M35" s="28"/>
      <c r="N35" s="28"/>
      <c r="O35" s="28"/>
      <c r="P35" s="28"/>
      <c r="Q35" s="28"/>
      <c r="R35" s="28"/>
      <c r="S35" s="28"/>
      <c r="T35" s="28"/>
      <c r="U35" s="28"/>
      <c r="V35" s="28"/>
      <c r="W35" s="28"/>
      <c r="X35" s="28"/>
      <c r="Y35" s="28"/>
      <c r="Z35" s="28"/>
      <c r="AA35" s="28"/>
      <c r="AB35" s="28"/>
      <c r="AC35" s="28"/>
      <c r="AD35" s="28"/>
      <c r="AE35" s="28"/>
      <c r="AF35" s="28"/>
      <c r="AG35" s="28"/>
      <c r="AH35" s="28"/>
      <c r="AI35" s="28"/>
      <c r="AJ35" s="28"/>
      <c r="AK35" s="28"/>
      <c r="AL35" s="28"/>
      <c r="AM35" s="28"/>
      <c r="AN35" s="28"/>
      <c r="AO35" s="28"/>
      <c r="AP35" s="28"/>
      <c r="AQ35" s="28"/>
      <c r="AR35" s="28"/>
      <c r="AS35" s="28"/>
      <c r="AT35" s="28"/>
      <c r="AU35" s="28"/>
      <c r="AV35" s="28"/>
      <c r="AW35" s="28"/>
      <c r="AX35" s="28"/>
      <c r="AY35" s="28"/>
      <c r="AZ35" s="28"/>
      <c r="BA35" s="28"/>
      <c r="BB35" s="28"/>
      <c r="BC35" s="28"/>
      <c r="BD35" s="28"/>
      <c r="BE35" s="28"/>
      <c r="BF35" s="28"/>
      <c r="BG35" s="28"/>
      <c r="BH35" s="28"/>
      <c r="BI35" s="28"/>
      <c r="BJ35" s="28"/>
      <c r="BK35" s="28"/>
      <c r="BL35" s="28"/>
      <c r="BM35" s="28"/>
    </row>
    <row r="36" spans="1:65" s="3" customFormat="1" ht="30" customHeight="1" thickBot="1" x14ac:dyDescent="0.3">
      <c r="A36" s="32" t="s">
        <v>11</v>
      </c>
      <c r="B36" s="21" t="s">
        <v>46</v>
      </c>
      <c r="C36" s="74" t="s">
        <v>54</v>
      </c>
      <c r="D36" s="43"/>
      <c r="E36" s="22"/>
      <c r="F36" s="60"/>
      <c r="G36" s="61"/>
      <c r="H36" s="11"/>
      <c r="I36" s="11" t="str">
        <f t="shared" si="6"/>
        <v/>
      </c>
      <c r="J36" s="28"/>
      <c r="K36" s="28"/>
      <c r="L36" s="28"/>
      <c r="M36" s="28"/>
      <c r="N36" s="28"/>
      <c r="O36" s="28"/>
      <c r="P36" s="28"/>
      <c r="Q36" s="28"/>
      <c r="R36" s="28"/>
      <c r="S36" s="28"/>
      <c r="T36" s="28"/>
      <c r="U36" s="28"/>
      <c r="V36" s="28"/>
      <c r="W36" s="28"/>
      <c r="X36" s="28"/>
      <c r="Y36" s="28"/>
      <c r="Z36" s="28"/>
      <c r="AA36" s="28"/>
      <c r="AB36" s="28"/>
      <c r="AC36" s="28"/>
      <c r="AD36" s="28"/>
      <c r="AE36" s="28"/>
      <c r="AF36" s="28"/>
      <c r="AG36" s="28"/>
      <c r="AH36" s="28"/>
      <c r="AI36" s="28"/>
      <c r="AJ36" s="28"/>
      <c r="AK36" s="28"/>
      <c r="AL36" s="28"/>
      <c r="AM36" s="28"/>
      <c r="AN36" s="28"/>
      <c r="AO36" s="28"/>
      <c r="AP36" s="28"/>
      <c r="AQ36" s="28"/>
      <c r="AR36" s="28"/>
      <c r="AS36" s="28"/>
      <c r="AT36" s="28"/>
      <c r="AU36" s="28"/>
      <c r="AV36" s="28"/>
      <c r="AW36" s="28"/>
      <c r="AX36" s="28"/>
      <c r="AY36" s="28"/>
      <c r="AZ36" s="28"/>
      <c r="BA36" s="28"/>
      <c r="BB36" s="28"/>
      <c r="BC36" s="28"/>
      <c r="BD36" s="28"/>
      <c r="BE36" s="28"/>
      <c r="BF36" s="28"/>
      <c r="BG36" s="28"/>
      <c r="BH36" s="28"/>
      <c r="BI36" s="28"/>
      <c r="BJ36" s="28"/>
      <c r="BK36" s="28"/>
      <c r="BL36" s="28"/>
      <c r="BM36" s="28"/>
    </row>
    <row r="37" spans="1:65" s="3" customFormat="1" ht="30" customHeight="1" thickBot="1" x14ac:dyDescent="0.3">
      <c r="A37" s="32"/>
      <c r="B37" s="49" t="s">
        <v>48</v>
      </c>
      <c r="C37" s="44" t="s">
        <v>53</v>
      </c>
      <c r="D37" s="44" t="s">
        <v>57</v>
      </c>
      <c r="E37" s="23">
        <v>1</v>
      </c>
      <c r="F37" s="62">
        <v>45837</v>
      </c>
      <c r="G37" s="62">
        <v>45837</v>
      </c>
      <c r="H37" s="11"/>
      <c r="I37" s="11">
        <f t="shared" si="6"/>
        <v>1</v>
      </c>
      <c r="J37" s="28"/>
      <c r="K37" s="28"/>
      <c r="L37" s="28"/>
      <c r="M37" s="28"/>
      <c r="N37" s="28"/>
      <c r="O37" s="28"/>
      <c r="P37" s="28"/>
      <c r="Q37" s="28"/>
      <c r="R37" s="28"/>
      <c r="S37" s="28"/>
      <c r="T37" s="28"/>
      <c r="U37" s="28"/>
      <c r="V37" s="28"/>
      <c r="W37" s="28"/>
      <c r="X37" s="28"/>
      <c r="Y37" s="28"/>
      <c r="Z37" s="28"/>
      <c r="AA37" s="28"/>
      <c r="AB37" s="28"/>
      <c r="AC37" s="28"/>
      <c r="AD37" s="28"/>
      <c r="AE37" s="28"/>
      <c r="AF37" s="28"/>
      <c r="AG37" s="28"/>
      <c r="AH37" s="28"/>
      <c r="AI37" s="28"/>
      <c r="AJ37" s="28"/>
      <c r="AK37" s="28"/>
      <c r="AL37" s="28"/>
      <c r="AM37" s="28"/>
      <c r="AN37" s="28"/>
      <c r="AO37" s="28"/>
      <c r="AP37" s="28"/>
      <c r="AQ37" s="28"/>
      <c r="AR37" s="28"/>
      <c r="AS37" s="28"/>
      <c r="AT37" s="28"/>
      <c r="AU37" s="28"/>
      <c r="AV37" s="28"/>
      <c r="AW37" s="28"/>
      <c r="AX37" s="28"/>
      <c r="AY37" s="28"/>
      <c r="AZ37" s="28"/>
      <c r="BA37" s="28"/>
      <c r="BB37" s="28"/>
      <c r="BC37" s="28"/>
      <c r="BD37" s="28"/>
      <c r="BE37" s="28"/>
      <c r="BF37" s="28"/>
      <c r="BG37" s="28"/>
      <c r="BH37" s="28"/>
      <c r="BI37" s="28"/>
      <c r="BJ37" s="28"/>
      <c r="BK37" s="28"/>
      <c r="BL37" s="28"/>
      <c r="BM37" s="28"/>
    </row>
    <row r="38" spans="1:65" s="3" customFormat="1" ht="30" customHeight="1" thickBot="1" x14ac:dyDescent="0.3">
      <c r="A38" s="32"/>
      <c r="B38" s="49" t="s">
        <v>55</v>
      </c>
      <c r="C38" s="44" t="s">
        <v>53</v>
      </c>
      <c r="D38" s="44"/>
      <c r="E38" s="23">
        <v>1</v>
      </c>
      <c r="F38" s="62">
        <v>45837</v>
      </c>
      <c r="G38" s="62">
        <v>45837</v>
      </c>
      <c r="H38" s="11"/>
      <c r="I38" s="11"/>
      <c r="J38" s="28"/>
      <c r="K38" s="28"/>
      <c r="L38" s="28"/>
      <c r="M38" s="28"/>
      <c r="N38" s="28"/>
      <c r="O38" s="28"/>
      <c r="P38" s="28"/>
      <c r="Q38" s="28"/>
      <c r="R38" s="28"/>
      <c r="S38" s="28"/>
      <c r="T38" s="28"/>
      <c r="U38" s="28"/>
      <c r="V38" s="28"/>
      <c r="W38" s="28"/>
      <c r="X38" s="28"/>
      <c r="Y38" s="28"/>
      <c r="Z38" s="28"/>
      <c r="AA38" s="28"/>
      <c r="AB38" s="28"/>
      <c r="AC38" s="28"/>
      <c r="AD38" s="28"/>
      <c r="AE38" s="28"/>
      <c r="AF38" s="28"/>
      <c r="AG38" s="28"/>
      <c r="AH38" s="28"/>
      <c r="AI38" s="28"/>
      <c r="AJ38" s="28"/>
      <c r="AK38" s="28"/>
      <c r="AL38" s="28"/>
      <c r="AM38" s="28"/>
      <c r="AN38" s="28"/>
      <c r="AO38" s="28"/>
      <c r="AP38" s="28"/>
      <c r="AQ38" s="28"/>
      <c r="AR38" s="28"/>
      <c r="AS38" s="28"/>
      <c r="AT38" s="28"/>
      <c r="AU38" s="28"/>
      <c r="AV38" s="28"/>
      <c r="AW38" s="28"/>
      <c r="AX38" s="28"/>
      <c r="AY38" s="28"/>
      <c r="AZ38" s="28"/>
      <c r="BA38" s="28"/>
      <c r="BB38" s="28"/>
      <c r="BC38" s="28"/>
      <c r="BD38" s="28"/>
      <c r="BE38" s="28"/>
      <c r="BF38" s="28"/>
      <c r="BG38" s="28"/>
      <c r="BH38" s="28"/>
      <c r="BI38" s="28"/>
      <c r="BJ38" s="28"/>
      <c r="BK38" s="28"/>
      <c r="BL38" s="28"/>
      <c r="BM38" s="28"/>
    </row>
    <row r="39" spans="1:65" s="3" customFormat="1" ht="30" customHeight="1" thickBot="1" x14ac:dyDescent="0.3">
      <c r="A39" s="32"/>
      <c r="B39" s="49" t="s">
        <v>47</v>
      </c>
      <c r="C39" s="44" t="s">
        <v>53</v>
      </c>
      <c r="D39" s="44"/>
      <c r="E39" s="23">
        <v>1</v>
      </c>
      <c r="F39" s="62">
        <v>45837</v>
      </c>
      <c r="G39" s="62">
        <v>45837</v>
      </c>
      <c r="H39" s="11"/>
      <c r="I39" s="11">
        <f t="shared" si="6"/>
        <v>1</v>
      </c>
      <c r="J39" s="28"/>
      <c r="K39" s="28"/>
      <c r="L39" s="28"/>
      <c r="M39" s="28"/>
      <c r="N39" s="28"/>
      <c r="O39" s="28"/>
      <c r="P39" s="28"/>
      <c r="Q39" s="28"/>
      <c r="R39" s="28"/>
      <c r="S39" s="28"/>
      <c r="T39" s="28"/>
      <c r="U39" s="28"/>
      <c r="V39" s="28"/>
      <c r="W39" s="28"/>
      <c r="X39" s="28"/>
      <c r="Y39" s="28"/>
      <c r="Z39" s="28"/>
      <c r="AA39" s="28"/>
      <c r="AB39" s="28"/>
      <c r="AC39" s="28"/>
      <c r="AD39" s="28"/>
      <c r="AE39" s="28"/>
      <c r="AF39" s="28"/>
      <c r="AG39" s="28"/>
      <c r="AH39" s="28"/>
      <c r="AI39" s="28"/>
      <c r="AJ39" s="28"/>
      <c r="AK39" s="28"/>
      <c r="AL39" s="28"/>
      <c r="AM39" s="28"/>
      <c r="AN39" s="28"/>
      <c r="AO39" s="28"/>
      <c r="AP39" s="28"/>
      <c r="AQ39" s="28"/>
      <c r="AR39" s="28"/>
      <c r="AS39" s="28"/>
      <c r="AT39" s="28"/>
      <c r="AU39" s="28"/>
      <c r="AV39" s="28"/>
      <c r="AW39" s="28"/>
      <c r="AX39" s="28"/>
      <c r="AY39" s="28"/>
      <c r="AZ39" s="28"/>
      <c r="BA39" s="28"/>
      <c r="BB39" s="28"/>
      <c r="BC39" s="28"/>
      <c r="BD39" s="28"/>
      <c r="BE39" s="28"/>
      <c r="BF39" s="28"/>
      <c r="BG39" s="28"/>
      <c r="BH39" s="28"/>
      <c r="BI39" s="28"/>
      <c r="BJ39" s="28"/>
      <c r="BK39" s="28"/>
      <c r="BL39" s="28"/>
      <c r="BM39" s="28"/>
    </row>
    <row r="40" spans="1:65" s="3" customFormat="1" ht="30" customHeight="1" thickBot="1" x14ac:dyDescent="0.3">
      <c r="A40" s="32"/>
      <c r="B40" s="49" t="s">
        <v>49</v>
      </c>
      <c r="C40" s="44" t="s">
        <v>53</v>
      </c>
      <c r="D40" s="44"/>
      <c r="E40" s="23">
        <v>1</v>
      </c>
      <c r="F40" s="62">
        <v>45837</v>
      </c>
      <c r="G40" s="62">
        <v>45837</v>
      </c>
      <c r="H40" s="11"/>
      <c r="I40" s="11">
        <f t="shared" si="6"/>
        <v>1</v>
      </c>
      <c r="J40" s="28"/>
      <c r="K40" s="28"/>
      <c r="L40" s="28"/>
      <c r="M40" s="28"/>
      <c r="N40" s="28"/>
      <c r="O40" s="28"/>
      <c r="P40" s="28"/>
      <c r="Q40" s="28"/>
      <c r="R40" s="28"/>
      <c r="S40" s="28"/>
      <c r="T40" s="28"/>
      <c r="U40" s="28"/>
      <c r="V40" s="28"/>
      <c r="W40" s="28"/>
      <c r="X40" s="28"/>
      <c r="Y40" s="28"/>
      <c r="Z40" s="28"/>
      <c r="AA40" s="28"/>
      <c r="AB40" s="28"/>
      <c r="AC40" s="28"/>
      <c r="AD40" s="28"/>
      <c r="AE40" s="28"/>
      <c r="AF40" s="28"/>
      <c r="AG40" s="28"/>
      <c r="AH40" s="28"/>
      <c r="AI40" s="28"/>
      <c r="AJ40" s="28"/>
      <c r="AK40" s="28"/>
      <c r="AL40" s="28"/>
      <c r="AM40" s="28"/>
      <c r="AN40" s="28"/>
      <c r="AO40" s="28"/>
      <c r="AP40" s="28"/>
      <c r="AQ40" s="28"/>
      <c r="AR40" s="28"/>
      <c r="AS40" s="28"/>
      <c r="AT40" s="28"/>
      <c r="AU40" s="28"/>
      <c r="AV40" s="28"/>
      <c r="AW40" s="28"/>
      <c r="AX40" s="28"/>
      <c r="AY40" s="28"/>
      <c r="AZ40" s="28"/>
      <c r="BA40" s="28"/>
      <c r="BB40" s="28"/>
      <c r="BC40" s="28"/>
      <c r="BD40" s="28"/>
      <c r="BE40" s="28"/>
      <c r="BF40" s="28"/>
      <c r="BG40" s="28"/>
      <c r="BH40" s="28"/>
      <c r="BI40" s="28"/>
      <c r="BJ40" s="28"/>
      <c r="BK40" s="28"/>
      <c r="BL40" s="28"/>
      <c r="BM40" s="28"/>
    </row>
    <row r="41" spans="1:65" s="3" customFormat="1" ht="30" customHeight="1" thickBot="1" x14ac:dyDescent="0.3">
      <c r="A41" s="32"/>
      <c r="B41" s="49" t="s">
        <v>50</v>
      </c>
      <c r="C41" s="44" t="s">
        <v>53</v>
      </c>
      <c r="D41" s="44"/>
      <c r="E41" s="23">
        <v>1</v>
      </c>
      <c r="F41" s="62">
        <v>45837</v>
      </c>
      <c r="G41" s="62">
        <v>45837</v>
      </c>
      <c r="H41" s="11"/>
      <c r="I41" s="11">
        <f t="shared" si="6"/>
        <v>1</v>
      </c>
      <c r="J41" s="28"/>
      <c r="K41" s="28"/>
      <c r="L41" s="28"/>
      <c r="M41" s="28"/>
      <c r="N41" s="28"/>
      <c r="O41" s="28"/>
      <c r="P41" s="28"/>
      <c r="Q41" s="28"/>
      <c r="R41" s="28"/>
      <c r="S41" s="28"/>
      <c r="T41" s="28"/>
      <c r="U41" s="28"/>
      <c r="V41" s="28"/>
      <c r="W41" s="28"/>
      <c r="X41" s="28"/>
      <c r="Y41" s="28"/>
      <c r="Z41" s="28"/>
      <c r="AA41" s="28"/>
      <c r="AB41" s="28"/>
      <c r="AC41" s="28"/>
      <c r="AD41" s="28"/>
      <c r="AE41" s="28"/>
      <c r="AF41" s="28"/>
      <c r="AG41" s="28"/>
      <c r="AH41" s="28"/>
      <c r="AI41" s="28"/>
      <c r="AJ41" s="28"/>
      <c r="AK41" s="28"/>
      <c r="AL41" s="28"/>
      <c r="AM41" s="28"/>
      <c r="AN41" s="28"/>
      <c r="AO41" s="28"/>
      <c r="AP41" s="28"/>
      <c r="AQ41" s="28"/>
      <c r="AR41" s="28"/>
      <c r="AS41" s="28"/>
      <c r="AT41" s="28"/>
      <c r="AU41" s="28"/>
      <c r="AV41" s="28"/>
      <c r="AW41" s="28"/>
      <c r="AX41" s="28"/>
      <c r="AY41" s="28"/>
      <c r="AZ41" s="28"/>
      <c r="BA41" s="28"/>
      <c r="BB41" s="28"/>
      <c r="BC41" s="28"/>
      <c r="BD41" s="28"/>
      <c r="BE41" s="28"/>
      <c r="BF41" s="28"/>
      <c r="BG41" s="28"/>
      <c r="BH41" s="28"/>
      <c r="BI41" s="28"/>
      <c r="BJ41" s="28"/>
      <c r="BK41" s="28"/>
      <c r="BL41" s="28"/>
      <c r="BM41" s="28"/>
    </row>
    <row r="42" spans="1:65" s="3" customFormat="1" ht="30" customHeight="1" thickBot="1" x14ac:dyDescent="0.3">
      <c r="A42" s="32"/>
      <c r="B42" s="49" t="s">
        <v>52</v>
      </c>
      <c r="C42" s="44" t="s">
        <v>27</v>
      </c>
      <c r="D42" s="44" t="s">
        <v>58</v>
      </c>
      <c r="E42" s="23">
        <v>0</v>
      </c>
      <c r="F42" s="62"/>
      <c r="G42" s="62"/>
      <c r="H42" s="11"/>
      <c r="I42" s="11" t="str">
        <f t="shared" si="6"/>
        <v/>
      </c>
      <c r="J42" s="28"/>
      <c r="K42" s="28"/>
      <c r="L42" s="28"/>
      <c r="M42" s="28"/>
      <c r="N42" s="28"/>
      <c r="O42" s="28"/>
      <c r="P42" s="28"/>
      <c r="Q42" s="28"/>
      <c r="R42" s="28"/>
      <c r="S42" s="28"/>
      <c r="T42" s="28"/>
      <c r="U42" s="28"/>
      <c r="V42" s="28"/>
      <c r="W42" s="28"/>
      <c r="X42" s="28"/>
      <c r="Y42" s="28"/>
      <c r="Z42" s="28"/>
      <c r="AA42" s="28"/>
      <c r="AB42" s="28"/>
      <c r="AC42" s="28"/>
      <c r="AD42" s="28"/>
      <c r="AE42" s="28"/>
      <c r="AF42" s="28"/>
      <c r="AG42" s="28"/>
      <c r="AH42" s="28"/>
      <c r="AI42" s="28"/>
      <c r="AJ42" s="28"/>
      <c r="AK42" s="28"/>
      <c r="AL42" s="28"/>
      <c r="AM42" s="28"/>
      <c r="AN42" s="28"/>
      <c r="AO42" s="28"/>
      <c r="AP42" s="28"/>
      <c r="AQ42" s="28"/>
      <c r="AR42" s="28"/>
      <c r="AS42" s="28"/>
      <c r="AT42" s="28"/>
      <c r="AU42" s="28"/>
      <c r="AV42" s="28"/>
      <c r="AW42" s="28"/>
      <c r="AX42" s="28"/>
      <c r="AY42" s="28"/>
      <c r="AZ42" s="28"/>
      <c r="BA42" s="28"/>
      <c r="BB42" s="28"/>
      <c r="BC42" s="28"/>
      <c r="BD42" s="28"/>
      <c r="BE42" s="28"/>
      <c r="BF42" s="28"/>
      <c r="BG42" s="28"/>
      <c r="BH42" s="28"/>
      <c r="BI42" s="28"/>
      <c r="BJ42" s="28"/>
      <c r="BK42" s="28"/>
      <c r="BL42" s="28"/>
      <c r="BM42" s="28"/>
    </row>
    <row r="43" spans="1:65" s="3" customFormat="1" ht="30" customHeight="1" thickBot="1" x14ac:dyDescent="0.3">
      <c r="A43" s="32" t="s">
        <v>12</v>
      </c>
      <c r="B43" s="50"/>
      <c r="C43" s="45"/>
      <c r="D43" s="45"/>
      <c r="E43" s="10"/>
      <c r="F43" s="63"/>
      <c r="G43" s="63"/>
      <c r="H43" s="11"/>
      <c r="I43" s="11" t="str">
        <f t="shared" si="6"/>
        <v/>
      </c>
      <c r="J43" s="28"/>
      <c r="K43" s="28"/>
      <c r="L43" s="28"/>
      <c r="M43" s="28"/>
      <c r="N43" s="28"/>
      <c r="O43" s="28"/>
      <c r="P43" s="28"/>
      <c r="Q43" s="28"/>
      <c r="R43" s="28"/>
      <c r="S43" s="28"/>
      <c r="T43" s="28"/>
      <c r="U43" s="28"/>
      <c r="V43" s="28"/>
      <c r="W43" s="28"/>
      <c r="X43" s="28"/>
      <c r="Y43" s="28"/>
      <c r="Z43" s="28"/>
      <c r="AA43" s="28"/>
      <c r="AB43" s="28"/>
      <c r="AC43" s="28"/>
      <c r="AD43" s="28"/>
      <c r="AE43" s="28"/>
      <c r="AF43" s="28"/>
      <c r="AG43" s="28"/>
      <c r="AH43" s="28"/>
      <c r="AI43" s="28"/>
      <c r="AJ43" s="28"/>
      <c r="AK43" s="28"/>
      <c r="AL43" s="28"/>
      <c r="AM43" s="28"/>
      <c r="AN43" s="28"/>
      <c r="AO43" s="28"/>
      <c r="AP43" s="28"/>
      <c r="AQ43" s="28"/>
      <c r="AR43" s="28"/>
      <c r="AS43" s="28"/>
      <c r="AT43" s="28"/>
      <c r="AU43" s="28"/>
      <c r="AV43" s="28"/>
      <c r="AW43" s="28"/>
      <c r="AX43" s="28"/>
      <c r="AY43" s="28"/>
      <c r="AZ43" s="28"/>
      <c r="BA43" s="28"/>
      <c r="BB43" s="28"/>
      <c r="BC43" s="28"/>
      <c r="BD43" s="28"/>
      <c r="BE43" s="28"/>
      <c r="BF43" s="28"/>
      <c r="BG43" s="28"/>
      <c r="BH43" s="28"/>
      <c r="BI43" s="28"/>
      <c r="BJ43" s="28"/>
      <c r="BK43" s="28"/>
      <c r="BL43" s="28"/>
      <c r="BM43" s="28"/>
    </row>
    <row r="44" spans="1:65" s="3" customFormat="1" ht="30" customHeight="1" thickBot="1" x14ac:dyDescent="0.3">
      <c r="A44" s="33" t="s">
        <v>13</v>
      </c>
      <c r="B44" s="24" t="s">
        <v>17</v>
      </c>
      <c r="C44" s="25"/>
      <c r="D44" s="25"/>
      <c r="E44" s="26"/>
      <c r="F44" s="64"/>
      <c r="G44" s="65"/>
      <c r="H44" s="27"/>
      <c r="I44" s="27" t="str">
        <f t="shared" si="6"/>
        <v/>
      </c>
      <c r="J44" s="30"/>
      <c r="K44" s="30"/>
      <c r="L44" s="30"/>
      <c r="M44" s="30"/>
      <c r="N44" s="30"/>
      <c r="O44" s="30"/>
      <c r="P44" s="30"/>
      <c r="Q44" s="30"/>
      <c r="R44" s="30"/>
      <c r="S44" s="30"/>
      <c r="T44" s="30"/>
      <c r="U44" s="30"/>
      <c r="V44" s="30"/>
      <c r="W44" s="30"/>
      <c r="X44" s="30"/>
      <c r="Y44" s="30"/>
      <c r="Z44" s="30"/>
      <c r="AA44" s="30"/>
      <c r="AB44" s="30"/>
      <c r="AC44" s="30"/>
      <c r="AD44" s="30"/>
      <c r="AE44" s="30"/>
      <c r="AF44" s="30"/>
      <c r="AG44" s="30"/>
      <c r="AH44" s="30"/>
      <c r="AI44" s="30"/>
      <c r="AJ44" s="30"/>
      <c r="AK44" s="30"/>
      <c r="AL44" s="30"/>
      <c r="AM44" s="30"/>
      <c r="AN44" s="30"/>
      <c r="AO44" s="30"/>
      <c r="AP44" s="30"/>
      <c r="AQ44" s="30"/>
      <c r="AR44" s="30"/>
      <c r="AS44" s="30"/>
      <c r="AT44" s="30"/>
      <c r="AU44" s="30"/>
      <c r="AV44" s="30"/>
      <c r="AW44" s="30"/>
      <c r="AX44" s="30"/>
      <c r="AY44" s="30"/>
      <c r="AZ44" s="30"/>
      <c r="BA44" s="30"/>
      <c r="BB44" s="30"/>
      <c r="BC44" s="30"/>
      <c r="BD44" s="30"/>
      <c r="BE44" s="30"/>
      <c r="BF44" s="30"/>
      <c r="BG44" s="30"/>
      <c r="BH44" s="30"/>
      <c r="BI44" s="30"/>
      <c r="BJ44" s="30"/>
      <c r="BK44" s="30"/>
      <c r="BL44" s="30"/>
      <c r="BM44" s="30"/>
    </row>
    <row r="45" spans="1:65" ht="30" customHeight="1" x14ac:dyDescent="0.25">
      <c r="H45" s="6"/>
    </row>
    <row r="46" spans="1:65" ht="30" customHeight="1" x14ac:dyDescent="0.25">
      <c r="C46" s="8"/>
      <c r="D46" s="8"/>
      <c r="G46" s="34"/>
    </row>
    <row r="47" spans="1:65" ht="30" customHeight="1" x14ac:dyDescent="0.25">
      <c r="C47" s="9"/>
      <c r="D47" s="9"/>
    </row>
  </sheetData>
  <mergeCells count="12">
    <mergeCell ref="AZ4:BF4"/>
    <mergeCell ref="BG4:BM4"/>
    <mergeCell ref="F3:G3"/>
    <mergeCell ref="J4:P4"/>
    <mergeCell ref="Q4:W4"/>
    <mergeCell ref="X4:AD4"/>
    <mergeCell ref="AE4:AK4"/>
    <mergeCell ref="C3:E3"/>
    <mergeCell ref="C4:E4"/>
    <mergeCell ref="B5:H5"/>
    <mergeCell ref="AL4:AR4"/>
    <mergeCell ref="AS4:AY4"/>
  </mergeCells>
  <conditionalFormatting sqref="E7:E44">
    <cfRule type="dataBar" priority="14">
      <dataBar>
        <cfvo type="num" val="0"/>
        <cfvo type="num" val="1"/>
        <color rgb="FF00B050"/>
      </dataBar>
      <extLst>
        <ext xmlns:x14="http://schemas.microsoft.com/office/spreadsheetml/2009/9/main" uri="{B025F937-C7B1-47D3-B67F-A62EFF666E3E}">
          <x14:id>{B0389232-4C98-4A03-AD0E-39F63BAD1F53}</x14:id>
        </ext>
      </extLst>
    </cfRule>
  </conditionalFormatting>
  <conditionalFormatting sqref="J5:BM44">
    <cfRule type="expression" dxfId="2" priority="33">
      <formula>AND(TODAY()&gt;=J$5,TODAY()&lt;K$5)</formula>
    </cfRule>
  </conditionalFormatting>
  <conditionalFormatting sqref="J7:BM44">
    <cfRule type="expression" dxfId="1" priority="27">
      <formula>AND(Fecha_incio&lt;=J$5,ROUNDDOWN((Fecha_final-Fecha_incio+1)*Progresos,0)+Fecha_incio-1&gt;=J$5)</formula>
    </cfRule>
    <cfRule type="expression" dxfId="0" priority="28" stopIfTrue="1">
      <formula>AND(Fecha_final&gt;=J$5,Fecha_incio&lt;K$5)</formula>
    </cfRule>
  </conditionalFormatting>
  <dataValidations count="1">
    <dataValidation type="whole" operator="greaterThanOrEqual" allowBlank="1" showInputMessage="1" promptTitle="Mostrar semana" prompt="Al cambiar este número, se desplazará la vista del diagrama de Gantt." sqref="F4" xr:uid="{00000000-0002-0000-0000-000000000000}">
      <formula1>1</formula1>
    </dataValidation>
  </dataValidations>
  <printOptions horizontalCentered="1"/>
  <pageMargins left="0.35" right="0.35" top="0.35" bottom="0.5" header="0.3" footer="0.3"/>
  <pageSetup paperSize="9" scale="57" fitToHeight="0" orientation="landscape" r:id="rId1"/>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E7:E44</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6</vt:i4>
      </vt:variant>
    </vt:vector>
  </HeadingPairs>
  <TitlesOfParts>
    <vt:vector size="7" baseType="lpstr">
      <vt:lpstr>calendarioproyecto</vt:lpstr>
      <vt:lpstr>calendarioproyecto!Fecha_final</vt:lpstr>
      <vt:lpstr>calendarioproyecto!Fecha_incio</vt:lpstr>
      <vt:lpstr>InicioDelProyecto</vt:lpstr>
      <vt:lpstr>calendarioproyecto!Progresos</vt:lpstr>
      <vt:lpstr>SemanaParaMostrar</vt:lpstr>
      <vt:lpstr>calendarioproyecto!Títulos_a_imprimir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2019-03-19T17:17:03Z</dcterms:created>
  <dcterms:modified xsi:type="dcterms:W3CDTF">2025-08-24T18:52:20Z</dcterms:modified>
</cp:coreProperties>
</file>