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xr:revisionPtr revIDLastSave="0" documentId="13_ncr:1_{F8AF2DD9-62C5-49C9-8744-284E21B32FB3}" xr6:coauthVersionLast="47" xr6:coauthVersionMax="47" xr10:uidLastSave="{00000000-0000-0000-0000-000000000000}"/>
  <bookViews>
    <workbookView xWindow="-120" yWindow="-120" windowWidth="29040" windowHeight="16440" activeTab="1" xr2:uid="{00000000-000D-0000-FFFF-FFFF00000000}"/>
  </bookViews>
  <sheets>
    <sheet name="calendarioproyecto" sheetId="11" r:id="rId1"/>
    <sheet name="Hoja1" sheetId="12" r:id="rId2"/>
  </sheets>
  <externalReferences>
    <externalReference r:id="rId3"/>
    <externalReference r:id="rId4"/>
    <externalReference r:id="rId5"/>
  </externalReferences>
  <definedNames>
    <definedName name="CIQWBGuid" hidden="1">"2cd8126d-26c3-430c-b7fa-a069e3a1fc62"</definedName>
    <definedName name="CODIGO1">[1]DIARIO!$C$12:$C$501</definedName>
    <definedName name="CODIGO2">[2]BALANCE!$A1</definedName>
    <definedName name="DEBE">[1]DIARIO!$F$12:$F$501</definedName>
    <definedName name="Fecha_final" localSheetId="0">calendarioproyecto!$H1</definedName>
    <definedName name="Fecha_incio" localSheetId="0">calendarioproyecto!$G1</definedName>
    <definedName name="HABER">[1]DIARIO!$G$12:$G$501</definedName>
    <definedName name="hoy" localSheetId="0">TODAY()</definedName>
    <definedName name="InicioDelProyecto">calendarioproyecto!$G$3</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Progresos" localSheetId="0">calendarioproyecto!$F1</definedName>
    <definedName name="SemanaParaMostrar">calendarioproyecto!$G$4</definedName>
    <definedName name="_xlnm.Print_Titles" localSheetId="0">calendarioproyecto!$4:$6</definedName>
    <definedName name="Type">'[3]Maintenance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 i="11" l="1"/>
  <c r="G10" i="11"/>
  <c r="H9" i="11"/>
  <c r="G9" i="11"/>
  <c r="H25" i="11"/>
  <c r="H16" i="11"/>
  <c r="G28" i="11"/>
  <c r="H28" i="11" s="1"/>
  <c r="J24" i="11"/>
  <c r="J7" i="11"/>
  <c r="G11" i="11" l="1"/>
  <c r="J28" i="11"/>
  <c r="J27" i="11"/>
  <c r="G14" i="11"/>
  <c r="K5" i="11"/>
  <c r="J46" i="11"/>
  <c r="J43" i="11"/>
  <c r="J42" i="11"/>
  <c r="J41" i="11"/>
  <c r="J38" i="11"/>
  <c r="J32" i="11"/>
  <c r="J8" i="11"/>
  <c r="J13" i="11"/>
  <c r="G12" i="11" l="1"/>
  <c r="H12" i="11" s="1"/>
  <c r="H11" i="11"/>
  <c r="H26" i="11"/>
  <c r="H14" i="11"/>
  <c r="G18" i="11" s="1"/>
  <c r="H18" i="11" s="1"/>
  <c r="G35" i="11"/>
  <c r="H35" i="11" s="1"/>
  <c r="J44" i="11"/>
  <c r="K6" i="11"/>
  <c r="J25" i="11" l="1"/>
  <c r="J26" i="11"/>
  <c r="G22" i="11"/>
  <c r="J14" i="11"/>
  <c r="J45" i="11"/>
  <c r="J33" i="11"/>
  <c r="L5" i="11"/>
  <c r="M5" i="11" s="1"/>
  <c r="N5" i="11" s="1"/>
  <c r="O5" i="11" s="1"/>
  <c r="P5" i="11" s="1"/>
  <c r="Q5" i="11" s="1"/>
  <c r="R5" i="11" s="1"/>
  <c r="K4" i="11"/>
  <c r="H22" i="11" l="1"/>
  <c r="J23" i="11" s="1"/>
  <c r="J10" i="11"/>
  <c r="G19" i="11"/>
  <c r="J9" i="11"/>
  <c r="R4" i="11"/>
  <c r="S5" i="11"/>
  <c r="T5" i="11" s="1"/>
  <c r="U5" i="11" s="1"/>
  <c r="V5" i="11" s="1"/>
  <c r="W5" i="11" s="1"/>
  <c r="X5" i="11" s="1"/>
  <c r="Y5" i="11" s="1"/>
  <c r="L6" i="11"/>
  <c r="H19" i="11" l="1"/>
  <c r="G20" i="11" s="1"/>
  <c r="J19" i="11"/>
  <c r="J39" i="11"/>
  <c r="J37" i="11"/>
  <c r="J35" i="11"/>
  <c r="J12" i="11"/>
  <c r="J11" i="11"/>
  <c r="Y4" i="11"/>
  <c r="Z5" i="11"/>
  <c r="AA5" i="11" s="1"/>
  <c r="AB5" i="11" s="1"/>
  <c r="AC5" i="11" s="1"/>
  <c r="AD5" i="11" s="1"/>
  <c r="AE5" i="11" s="1"/>
  <c r="AF5" i="11" s="1"/>
  <c r="M6" i="11"/>
  <c r="AG5" i="11" l="1"/>
  <c r="AH5" i="11" s="1"/>
  <c r="AI5" i="11" s="1"/>
  <c r="AJ5" i="11" s="1"/>
  <c r="AK5" i="11" s="1"/>
  <c r="AL5" i="11" s="1"/>
  <c r="AF4" i="11"/>
  <c r="N6" i="11"/>
  <c r="G21" i="11" l="1"/>
  <c r="H21" i="11" s="1"/>
  <c r="J22" i="11" s="1"/>
  <c r="AM5" i="11"/>
  <c r="AN5" i="11" s="1"/>
  <c r="AO5" i="11" s="1"/>
  <c r="AP5" i="11" s="1"/>
  <c r="AQ5" i="11" s="1"/>
  <c r="AR5" i="11" s="1"/>
  <c r="AS5" i="11" s="1"/>
  <c r="O6" i="11"/>
  <c r="H20" i="11" l="1"/>
  <c r="J20" i="11"/>
  <c r="AT5" i="11"/>
  <c r="AU5" i="11" s="1"/>
  <c r="AM4" i="11"/>
  <c r="P6" i="11"/>
  <c r="AV5" i="11" l="1"/>
  <c r="AU6" i="11"/>
  <c r="AT4" i="11"/>
  <c r="Q6" i="11"/>
  <c r="AW5" i="11" l="1"/>
  <c r="AV6" i="11"/>
  <c r="AX5" i="11" l="1"/>
  <c r="AW6" i="11"/>
  <c r="R6" i="11"/>
  <c r="S6" i="11"/>
  <c r="AY5" i="11" l="1"/>
  <c r="AX6" i="11"/>
  <c r="T6" i="11"/>
  <c r="AZ5" i="11" l="1"/>
  <c r="BA5" i="11" s="1"/>
  <c r="AY6" i="11"/>
  <c r="U6" i="11"/>
  <c r="BA6" i="11" l="1"/>
  <c r="BB5" i="11"/>
  <c r="BA4" i="11"/>
  <c r="AZ6" i="11"/>
  <c r="V6" i="11"/>
  <c r="BC5" i="11" l="1"/>
  <c r="BB6" i="11"/>
  <c r="W6" i="11"/>
  <c r="BC6" i="11" l="1"/>
  <c r="BD5" i="11"/>
  <c r="X6" i="11"/>
  <c r="BD6" i="11" l="1"/>
  <c r="BE5" i="11"/>
  <c r="Y6" i="11"/>
  <c r="BE6" i="11" l="1"/>
  <c r="BF5" i="11"/>
  <c r="Z6" i="11"/>
  <c r="BG5" i="11" l="1"/>
  <c r="BF6" i="11"/>
  <c r="AA6" i="11"/>
  <c r="BG6" i="11" l="1"/>
  <c r="BH5" i="11"/>
  <c r="AB6" i="11"/>
  <c r="BH6" i="11" l="1"/>
  <c r="BI5" i="11"/>
  <c r="BH4" i="11"/>
  <c r="AC6" i="11"/>
  <c r="BI6" i="11" l="1"/>
  <c r="BJ5" i="11"/>
  <c r="AD6" i="11"/>
  <c r="BK5" i="11" l="1"/>
  <c r="BJ6" i="11"/>
  <c r="AE6" i="11"/>
  <c r="BL5" i="11" l="1"/>
  <c r="BK6" i="11"/>
  <c r="AF6" i="11"/>
  <c r="BM5" i="11" l="1"/>
  <c r="BL6" i="11"/>
  <c r="AG6" i="11"/>
  <c r="BN5" i="11" l="1"/>
  <c r="BM6" i="11"/>
  <c r="AH6" i="11"/>
  <c r="BN6" i="11" l="1"/>
  <c r="AI6" i="11"/>
  <c r="AJ6" i="11" l="1"/>
  <c r="AK6" i="11" l="1"/>
  <c r="AL6" i="11" l="1"/>
  <c r="AM6" i="11" l="1"/>
  <c r="AN6" i="11" l="1"/>
  <c r="AO6" i="11" l="1"/>
  <c r="AP6" i="11" l="1"/>
  <c r="AQ6" i="11" l="1"/>
  <c r="AR6" i="11" l="1"/>
  <c r="AS6" i="11" l="1"/>
  <c r="AT6" i="11" l="1"/>
</calcChain>
</file>

<file path=xl/sharedStrings.xml><?xml version="1.0" encoding="utf-8"?>
<sst xmlns="http://schemas.openxmlformats.org/spreadsheetml/2006/main" count="221" uniqueCount="133">
  <si>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</si>
  <si>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</si>
  <si>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</si>
  <si>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</si>
  <si>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</si>
  <si>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</si>
  <si>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</si>
  <si>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</si>
  <si>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</si>
  <si>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</si>
  <si>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</si>
  <si>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Esta fila indica el final de la programación del proyecto. NO escriba nada en esta fila. 
Inserte nuevas filas encima de ésta para continuar creando la programación del proyecto.</t>
  </si>
  <si>
    <t>TAREA</t>
  </si>
  <si>
    <t>Inserte nuevas filas ENCIMA de ésta</t>
  </si>
  <si>
    <t>Inicio del proyecto:</t>
  </si>
  <si>
    <t>Semana para mostrar:</t>
  </si>
  <si>
    <t>PROGRESO</t>
  </si>
  <si>
    <t>INICIO</t>
  </si>
  <si>
    <t>FIN</t>
  </si>
  <si>
    <t>DÍAS</t>
  </si>
  <si>
    <r>
      <rPr>
        <b/>
        <sz val="14"/>
        <color theme="1"/>
        <rFont val="Calibri"/>
        <family val="2"/>
        <scheme val="minor"/>
      </rPr>
      <t xml:space="preserve">DIAGRAMA DE GANTT </t>
    </r>
    <r>
      <rPr>
        <sz val="11"/>
        <color theme="1"/>
        <rFont val="Calibri"/>
        <family val="2"/>
        <scheme val="minor"/>
      </rPr>
      <t xml:space="preserve"> </t>
    </r>
  </si>
  <si>
    <t>DocuEstudia</t>
  </si>
  <si>
    <t>Jose Miguel Alvarez Fagua</t>
  </si>
  <si>
    <t>Backend</t>
  </si>
  <si>
    <t>Frontend</t>
  </si>
  <si>
    <t>Error en Modificar</t>
  </si>
  <si>
    <t>Validar backend</t>
  </si>
  <si>
    <t>Revision de Querys</t>
  </si>
  <si>
    <t>Estructura Organización MCV</t>
  </si>
  <si>
    <t>Implementar Color</t>
  </si>
  <si>
    <t>Actualizar Datos Est</t>
  </si>
  <si>
    <t>forms/ManageStudent.php</t>
  </si>
  <si>
    <t>Crear Datos Est</t>
  </si>
  <si>
    <t>EXPLICACION PROGRESO</t>
  </si>
  <si>
    <t>Elimina y actualiza correctamente</t>
  </si>
  <si>
    <t>views/AnnotationTrigger.php</t>
  </si>
  <si>
    <t>Actualizar Datos Prof</t>
  </si>
  <si>
    <t>Eliminar Datos Prof</t>
  </si>
  <si>
    <t>Crear Datos Prof</t>
  </si>
  <si>
    <t>Eliminar Datos Est</t>
  </si>
  <si>
    <t>Trigger Prof</t>
  </si>
  <si>
    <t>models\TeacherModel.php</t>
  </si>
  <si>
    <t>Guardado de Imágenes Prof</t>
  </si>
  <si>
    <t>Es un Procedure</t>
  </si>
  <si>
    <t>NO IMPLEMENTADO</t>
  </si>
  <si>
    <t>Revision de Permisos</t>
  </si>
  <si>
    <t>config/ProtectPages.php</t>
  </si>
  <si>
    <t>templates/HomeHeader.php</t>
  </si>
  <si>
    <t>Permiso paginas de Header</t>
  </si>
  <si>
    <t>Profesor</t>
  </si>
  <si>
    <t>Dejar campos vacios Guardado</t>
  </si>
  <si>
    <t>CRUD Insert New User</t>
  </si>
  <si>
    <t>Obligatorio</t>
  </si>
  <si>
    <t>Se crea bien con los foreing keys</t>
  </si>
  <si>
    <t>models/AnnotationsModel.php</t>
  </si>
  <si>
    <t>Se crea bien y funciona trigger</t>
  </si>
  <si>
    <t>Funciona Cambiar Archivo</t>
  </si>
  <si>
    <t>teacher/AnnotationsHistory.php</t>
  </si>
  <si>
    <t>Eliminar y actualiza tabla historial ope</t>
  </si>
  <si>
    <t>Funciona bien el trigger</t>
  </si>
  <si>
    <t>Permitir dejar campos vacios</t>
  </si>
  <si>
    <t>Asignacion de Permisos</t>
  </si>
  <si>
    <t>Crear en SQL la logica de otorgar permisos</t>
  </si>
  <si>
    <t>Esto es X Usuario</t>
  </si>
  <si>
    <t>Leer Datos Est</t>
  </si>
  <si>
    <t>Se leen correctamente</t>
  </si>
  <si>
    <t>Posible Error Cambio imagen</t>
  </si>
  <si>
    <t>StudentModel.php</t>
  </si>
  <si>
    <t>La idea es enviarlo al correo registrado</t>
  </si>
  <si>
    <t>La idea es que tenga un checkbox de confirmacion de la anotacion</t>
  </si>
  <si>
    <t>Reasignar fotos Usuarios</t>
  </si>
  <si>
    <t>Diseño estructura pagina Web</t>
  </si>
  <si>
    <t>Optimizar Codigo Css Html</t>
  </si>
  <si>
    <t>Href validacion de redireccionamiento</t>
  </si>
  <si>
    <t>PRIORIDAD</t>
  </si>
  <si>
    <t>Annotations</t>
  </si>
  <si>
    <t>Student</t>
  </si>
  <si>
    <t>Teacher</t>
  </si>
  <si>
    <t>Alta</t>
  </si>
  <si>
    <t>RUTA ARCHIVO</t>
  </si>
  <si>
    <t>Media</t>
  </si>
  <si>
    <t>Baja</t>
  </si>
  <si>
    <t>Leer Datos Prof</t>
  </si>
  <si>
    <t>Leer Datos Anot</t>
  </si>
  <si>
    <t>Actualizar Datos Anot</t>
  </si>
  <si>
    <t>Firma del Est</t>
  </si>
  <si>
    <t>Eliminar Anot</t>
  </si>
  <si>
    <t>Crear Anot</t>
  </si>
  <si>
    <t>Trigger Anotes</t>
  </si>
  <si>
    <t>FILTRAR Anot y Est</t>
  </si>
  <si>
    <t>Acudiente enviar Anot Notificacion</t>
  </si>
  <si>
    <t>Cuando solo admite 1 GB como maximo</t>
  </si>
  <si>
    <t>Prioridad</t>
  </si>
  <si>
    <t>Tarea</t>
  </si>
  <si>
    <t>Progreso</t>
  </si>
  <si>
    <t>Inicio</t>
  </si>
  <si>
    <t>Fin</t>
  </si>
  <si>
    <t>Reasignar fotos de usuarios</t>
  </si>
  <si>
    <t>Diseño de estructura de página web</t>
  </si>
  <si>
    <t>Optimización de código CSS/HTML</t>
  </si>
  <si>
    <t>Fin del proyecto:</t>
  </si>
  <si>
    <t>Validación de redireccionamiento (href)</t>
  </si>
  <si>
    <t>Revisión de permisos</t>
  </si>
  <si>
    <t>Guardado con campos vacíos (Insert User)</t>
  </si>
  <si>
    <t>Permisos en header (Profesor)</t>
  </si>
  <si>
    <t>—</t>
  </si>
  <si>
    <t>Error en modificar</t>
  </si>
  <si>
    <t>Validación general del backend</t>
  </si>
  <si>
    <t>Actualización de datos estudiantiles</t>
  </si>
  <si>
    <t>Revisión de consultas SQL</t>
  </si>
  <si>
    <t>Organización de estructura MVC</t>
  </si>
  <si>
    <t>Asignación de permisos por usuario</t>
  </si>
  <si>
    <t>Leer datos de anotaciones</t>
  </si>
  <si>
    <t>Actualizar datos de anotaciones</t>
  </si>
  <si>
    <t>Eliminar anotaciones</t>
  </si>
  <si>
    <t>Crear anotaciones con trigger</t>
  </si>
  <si>
    <t>Trigger de anotaciones</t>
  </si>
  <si>
    <t>Firma del estudiante (checkbox)</t>
  </si>
  <si>
    <t>Notificación a acudiente por correo</t>
  </si>
  <si>
    <t>Anotaciones</t>
  </si>
  <si>
    <t>Estudiantes</t>
  </si>
  <si>
    <t>Leer datos de estudiantes</t>
  </si>
  <si>
    <t>Actualizar datos (permitir campos vacíos)</t>
  </si>
  <si>
    <t>Eliminar datos de estudiantes</t>
  </si>
  <si>
    <t>Crear datos con claves foráneas</t>
  </si>
  <si>
    <t>Docentes</t>
  </si>
  <si>
    <t>Leer datos de profesores</t>
  </si>
  <si>
    <t>Actualizar datos (procedure)</t>
  </si>
  <si>
    <t>Eliminar datos de profesores</t>
  </si>
  <si>
    <t>Crear datos de profesores</t>
  </si>
  <si>
    <t>Guardado de imágenes de profesores</t>
  </si>
  <si>
    <t>Trigger para profesores</t>
  </si>
  <si>
    <t>Guardado de imágenes de estudiantes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</si>
</sst>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m/d/yy;@"/>
    <numFmt numFmtId="169" formatCode="d\-m\-yy;@"/>
    <numFmt numFmtId="170" formatCode="ddd\,\ dd/mm/yyyy"/>
    <numFmt numFmtId="171" formatCode="mmm\ &quot;de&quot;\ yyyy"/>
    <numFmt numFmtId="172"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
      <color theme="0"/>
      <name val="Calibri"/>
      <family val="2"/>
      <scheme val="minor"/>
    </font>
    <font>
      <b/>
      <sz val="14"/>
      <color theme="1"/>
      <name val="Calibri"/>
      <family val="2"/>
      <scheme val="minor"/>
    </font>
    <font>
      <u/>
      <sz val="11"/>
      <color theme="1"/>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00B050"/>
        <bgColor theme="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5">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5" fillId="0" borderId="0"/>
    <xf numFmtId="167" fontId="9" fillId="0" borderId="3" applyFont="0" applyFill="0" applyAlignment="0" applyProtection="0"/>
    <xf numFmtId="0" fontId="12"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70"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6"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17" fillId="0" borderId="0" applyNumberFormat="0" applyFill="0" applyBorder="0" applyAlignment="0" applyProtection="0"/>
    <xf numFmtId="0" fontId="18" fillId="11" borderId="0" applyNumberFormat="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1" fillId="14" borderId="11" applyNumberFormat="0" applyAlignment="0" applyProtection="0"/>
    <xf numFmtId="0" fontId="22" fillId="15" borderId="12" applyNumberFormat="0" applyAlignment="0" applyProtection="0"/>
    <xf numFmtId="0" fontId="23" fillId="15" borderId="11" applyNumberFormat="0" applyAlignment="0" applyProtection="0"/>
    <xf numFmtId="0" fontId="24" fillId="0" borderId="13" applyNumberFormat="0" applyFill="0" applyAlignment="0" applyProtection="0"/>
    <xf numFmtId="0" fontId="25" fillId="16" borderId="14" applyNumberFormat="0" applyAlignment="0" applyProtection="0"/>
    <xf numFmtId="0" fontId="26" fillId="0" borderId="0" applyNumberFormat="0" applyFill="0" applyBorder="0" applyAlignment="0" applyProtection="0"/>
    <xf numFmtId="0" fontId="9" fillId="17" borderId="15" applyNumberFormat="0" applyFont="0" applyAlignment="0" applyProtection="0"/>
    <xf numFmtId="0" fontId="27" fillId="0" borderId="0" applyNumberFormat="0" applyFill="0" applyBorder="0" applyAlignment="0" applyProtection="0"/>
    <xf numFmtId="0" fontId="6" fillId="0" borderId="16" applyNumberFormat="0" applyFill="0" applyAlignment="0" applyProtection="0"/>
    <xf numFmtId="0" fontId="1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1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1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1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15"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0" borderId="0"/>
  </cellStyleXfs>
  <cellXfs count="109">
    <xf numFmtId="0" fontId="0" fillId="0" borderId="0" xfId="0"/>
    <xf numFmtId="0" fontId="0" fillId="0" borderId="0" xfId="0" applyAlignment="1">
      <alignment vertical="center"/>
    </xf>
    <xf numFmtId="0" fontId="0" fillId="0" borderId="0" xfId="0" applyAlignment="1">
      <alignment horizontal="right" vertical="center"/>
    </xf>
    <xf numFmtId="0" fontId="0" fillId="0" borderId="3" xfId="0" applyBorder="1" applyAlignment="1">
      <alignment horizontal="center" vertical="center"/>
    </xf>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3"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10"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169" fontId="4" fillId="2" borderId="2" xfId="0" applyNumberFormat="1" applyFont="1" applyFill="1" applyBorder="1" applyAlignment="1">
      <alignment horizontal="left" vertical="center"/>
    </xf>
    <xf numFmtId="169" fontId="5" fillId="2" borderId="2" xfId="0" applyNumberFormat="1" applyFont="1" applyFill="1" applyBorder="1" applyAlignment="1">
      <alignment horizontal="center" vertical="center"/>
    </xf>
    <xf numFmtId="0" fontId="7" fillId="43" borderId="1" xfId="0" applyFont="1" applyFill="1" applyBorder="1" applyAlignment="1">
      <alignment horizontal="center" vertical="center" wrapText="1"/>
    </xf>
    <xf numFmtId="0" fontId="11" fillId="42" borderId="8" xfId="0" applyFont="1" applyFill="1" applyBorder="1" applyAlignment="1">
      <alignment horizontal="center" vertical="center" shrinkToFit="1"/>
    </xf>
    <xf numFmtId="172" fontId="28" fillId="42" borderId="6" xfId="0" applyNumberFormat="1" applyFont="1" applyFill="1" applyBorder="1" applyAlignment="1">
      <alignment horizontal="center" vertical="center"/>
    </xf>
    <xf numFmtId="172" fontId="28" fillId="42" borderId="0" xfId="0" applyNumberFormat="1" applyFont="1" applyFill="1" applyAlignment="1">
      <alignment horizontal="center" vertical="center"/>
    </xf>
    <xf numFmtId="172" fontId="28" fillId="42" borderId="7" xfId="0" applyNumberFormat="1" applyFont="1" applyFill="1" applyBorder="1" applyAlignment="1">
      <alignment horizontal="center" vertical="center"/>
    </xf>
    <xf numFmtId="0" fontId="30" fillId="0" borderId="9" xfId="0" applyFont="1" applyBorder="1" applyAlignment="1">
      <alignment vertical="center"/>
    </xf>
    <xf numFmtId="9" fontId="5" fillId="44" borderId="2" xfId="2" applyFont="1" applyFill="1" applyBorder="1" applyAlignment="1">
      <alignment horizontal="center" vertical="center"/>
    </xf>
    <xf numFmtId="0" fontId="10" fillId="0" borderId="0" xfId="6" applyAlignment="1">
      <alignment horizontal="left" vertical="center"/>
    </xf>
    <xf numFmtId="0" fontId="10" fillId="0" borderId="0" xfId="7" applyAlignment="1">
      <alignment horizontal="left" vertical="center"/>
    </xf>
    <xf numFmtId="0" fontId="12" fillId="0" borderId="0" xfId="5" applyFont="1" applyAlignment="1">
      <alignment horizontal="left" vertical="center"/>
    </xf>
    <xf numFmtId="0" fontId="15" fillId="22" borderId="2" xfId="34" applyBorder="1" applyAlignment="1">
      <alignment horizontal="center" vertical="center"/>
    </xf>
    <xf numFmtId="0" fontId="12" fillId="0" borderId="0" xfId="5" applyFont="1" applyAlignment="1">
      <alignment horizontal="center" vertical="center"/>
    </xf>
    <xf numFmtId="0" fontId="10" fillId="0" borderId="0" xfId="6" applyAlignment="1">
      <alignment horizontal="center" vertical="center"/>
    </xf>
    <xf numFmtId="0" fontId="10" fillId="0" borderId="0" xfId="7" applyAlignment="1">
      <alignment horizontal="center" vertical="center"/>
    </xf>
    <xf numFmtId="0" fontId="7" fillId="43" borderId="1" xfId="0" applyFont="1" applyFill="1" applyBorder="1" applyAlignment="1">
      <alignment horizontal="center" vertical="center"/>
    </xf>
    <xf numFmtId="0" fontId="9" fillId="3" borderId="2" xfId="12" applyFill="1" applyAlignment="1">
      <alignment horizontal="center" vertical="center"/>
    </xf>
    <xf numFmtId="0" fontId="9" fillId="44" borderId="2" xfId="12" applyFill="1" applyAlignment="1">
      <alignment horizontal="center" vertical="center"/>
    </xf>
    <xf numFmtId="0" fontId="9" fillId="9" borderId="2" xfId="12" applyFill="1" applyAlignment="1">
      <alignment horizontal="center" vertical="center"/>
    </xf>
    <xf numFmtId="0" fontId="9" fillId="0" borderId="2" xfId="12" applyAlignment="1">
      <alignment horizontal="center" vertical="center"/>
    </xf>
    <xf numFmtId="0" fontId="15" fillId="0" borderId="0" xfId="3" applyAlignment="1">
      <alignment vertical="center" wrapText="1"/>
    </xf>
    <xf numFmtId="0" fontId="1" fillId="0" borderId="0" xfId="0" applyFont="1" applyAlignment="1">
      <alignment horizontal="left" vertical="center"/>
    </xf>
    <xf numFmtId="0" fontId="2" fillId="0" borderId="0" xfId="0" applyFont="1" applyAlignment="1">
      <alignment vertical="center"/>
    </xf>
    <xf numFmtId="0" fontId="0" fillId="0" borderId="0" xfId="0" applyFill="1" applyAlignment="1">
      <alignment vertical="center"/>
    </xf>
    <xf numFmtId="0" fontId="15" fillId="0" borderId="0" xfId="3" applyAlignment="1">
      <alignment vertical="center"/>
    </xf>
    <xf numFmtId="0" fontId="0" fillId="0" borderId="0" xfId="0" applyAlignment="1">
      <alignment horizontal="center" vertical="center"/>
    </xf>
    <xf numFmtId="0" fontId="14" fillId="0" borderId="0" xfId="1" applyFont="1" applyAlignment="1" applyProtection="1">
      <alignment vertical="center"/>
    </xf>
    <xf numFmtId="0" fontId="15" fillId="0" borderId="0" xfId="3" applyAlignment="1">
      <alignment horizontal="center" vertical="center" wrapText="1"/>
    </xf>
    <xf numFmtId="0" fontId="0" fillId="0" borderId="0" xfId="0" applyAlignment="1">
      <alignment vertical="center" wrapText="1"/>
    </xf>
    <xf numFmtId="0" fontId="9" fillId="4" borderId="2" xfId="12" applyFill="1" applyAlignment="1">
      <alignment horizontal="left" vertical="center"/>
    </xf>
    <xf numFmtId="0" fontId="9" fillId="4" borderId="2" xfId="11" applyFill="1" applyAlignment="1">
      <alignment horizontal="center" vertical="center"/>
    </xf>
    <xf numFmtId="169" fontId="9" fillId="4" borderId="2" xfId="10" applyNumberFormat="1" applyFill="1" applyAlignment="1">
      <alignment horizontal="center" vertical="center"/>
    </xf>
    <xf numFmtId="0" fontId="9" fillId="3" borderId="2" xfId="12" applyFill="1" applyAlignment="1">
      <alignment horizontal="left" vertical="center"/>
    </xf>
    <xf numFmtId="0" fontId="9" fillId="3" borderId="2" xfId="11" applyFill="1" applyAlignment="1">
      <alignment horizontal="center" vertical="center"/>
    </xf>
    <xf numFmtId="169" fontId="9" fillId="3" borderId="2" xfId="10" applyNumberFormat="1" applyFill="1" applyAlignment="1">
      <alignment horizontal="center" vertical="center"/>
    </xf>
    <xf numFmtId="0" fontId="9" fillId="44" borderId="2" xfId="12" applyFill="1" applyAlignment="1">
      <alignment horizontal="left" vertical="center"/>
    </xf>
    <xf numFmtId="0" fontId="9" fillId="44" borderId="2" xfId="11" applyFill="1" applyAlignment="1">
      <alignment horizontal="center" vertical="center"/>
    </xf>
    <xf numFmtId="169" fontId="9" fillId="44" borderId="2" xfId="10" applyNumberFormat="1" applyFill="1" applyAlignment="1">
      <alignment horizontal="center" vertical="center"/>
    </xf>
    <xf numFmtId="0" fontId="9" fillId="10" borderId="2" xfId="11" applyFill="1" applyAlignment="1">
      <alignment horizontal="center" vertical="center"/>
    </xf>
    <xf numFmtId="169" fontId="9" fillId="10" borderId="2" xfId="10" applyNumberFormat="1" applyFill="1" applyAlignment="1">
      <alignment horizontal="center" vertical="center"/>
    </xf>
    <xf numFmtId="0" fontId="9" fillId="10" borderId="2" xfId="12" applyFill="1" applyAlignment="1">
      <alignment horizontal="left" vertical="center"/>
    </xf>
    <xf numFmtId="0" fontId="9" fillId="9" borderId="2" xfId="12" applyFill="1" applyAlignment="1">
      <alignment horizontal="left" vertical="center"/>
    </xf>
    <xf numFmtId="0" fontId="9" fillId="9" borderId="2" xfId="11" applyFill="1" applyAlignment="1">
      <alignment horizontal="center" vertical="center"/>
    </xf>
    <xf numFmtId="169" fontId="9" fillId="9" borderId="2" xfId="10" applyNumberFormat="1" applyFill="1" applyAlignment="1">
      <alignment horizontal="center" vertical="center"/>
    </xf>
    <xf numFmtId="0" fontId="9" fillId="0" borderId="2" xfId="12" applyAlignment="1">
      <alignment horizontal="left" vertical="center"/>
    </xf>
    <xf numFmtId="0" fontId="9" fillId="0" borderId="2" xfId="11" applyAlignment="1">
      <alignment horizontal="center" vertical="center"/>
    </xf>
    <xf numFmtId="169" fontId="9" fillId="0" borderId="2" xfId="10" applyNumberFormat="1" applyAlignment="1">
      <alignment horizontal="center" vertical="center"/>
    </xf>
    <xf numFmtId="0" fontId="8" fillId="2" borderId="2" xfId="0" applyFont="1" applyFill="1" applyBorder="1" applyAlignment="1">
      <alignment horizontal="left" vertical="center"/>
    </xf>
    <xf numFmtId="0" fontId="13" fillId="0" borderId="0" xfId="0" applyFont="1" applyAlignment="1">
      <alignment vertical="center"/>
    </xf>
    <xf numFmtId="0" fontId="15" fillId="0" borderId="0" xfId="0" applyFont="1" applyAlignment="1">
      <alignment horizontal="center" vertical="center"/>
    </xf>
    <xf numFmtId="0" fontId="15" fillId="18" borderId="2" xfId="30" applyBorder="1" applyAlignment="1">
      <alignment horizontal="center" vertical="center"/>
    </xf>
    <xf numFmtId="0" fontId="15" fillId="38" borderId="2" xfId="50" applyBorder="1" applyAlignment="1">
      <alignment horizontal="center" vertical="center"/>
    </xf>
    <xf numFmtId="0" fontId="6" fillId="8" borderId="2" xfId="0" applyFont="1" applyFill="1" applyBorder="1" applyAlignment="1">
      <alignment horizontal="centerContinuous" vertical="center"/>
    </xf>
    <xf numFmtId="0" fontId="9" fillId="8" borderId="2" xfId="11" applyFill="1" applyAlignment="1">
      <alignment horizontal="centerContinuous" vertical="center"/>
    </xf>
    <xf numFmtId="9" fontId="5" fillId="8" borderId="2" xfId="2" applyFont="1" applyFill="1" applyBorder="1" applyAlignment="1">
      <alignment horizontal="centerContinuous" vertical="center"/>
    </xf>
    <xf numFmtId="169" fontId="0" fillId="8" borderId="2" xfId="0" applyNumberFormat="1" applyFill="1" applyBorder="1" applyAlignment="1">
      <alignment horizontal="centerContinuous" vertical="center"/>
    </xf>
    <xf numFmtId="169" fontId="5" fillId="8" borderId="2" xfId="0" applyNumberFormat="1" applyFont="1" applyFill="1" applyBorder="1" applyAlignment="1">
      <alignment horizontal="centerContinuous" vertical="center"/>
    </xf>
    <xf numFmtId="0" fontId="6" fillId="7" borderId="2" xfId="0" applyFont="1" applyFill="1" applyBorder="1" applyAlignment="1">
      <alignment horizontal="centerContinuous" vertical="center"/>
    </xf>
    <xf numFmtId="0" fontId="9" fillId="7" borderId="2" xfId="11" applyFill="1" applyAlignment="1">
      <alignment horizontal="centerContinuous" vertical="center"/>
    </xf>
    <xf numFmtId="9" fontId="5" fillId="7" borderId="2" xfId="2" applyFont="1" applyFill="1" applyBorder="1" applyAlignment="1">
      <alignment horizontal="centerContinuous" vertical="center"/>
    </xf>
    <xf numFmtId="169" fontId="0" fillId="7" borderId="2" xfId="0" applyNumberFormat="1" applyFill="1" applyBorder="1" applyAlignment="1">
      <alignment horizontal="centerContinuous" vertical="center"/>
    </xf>
    <xf numFmtId="169" fontId="5" fillId="7" borderId="2" xfId="0" applyNumberFormat="1" applyFont="1" applyFill="1" applyBorder="1" applyAlignment="1">
      <alignment horizontal="centerContinuous" vertical="center"/>
    </xf>
    <xf numFmtId="0" fontId="6" fillId="45" borderId="2" xfId="0" applyFont="1" applyFill="1" applyBorder="1" applyAlignment="1">
      <alignment horizontal="centerContinuous" vertical="center"/>
    </xf>
    <xf numFmtId="0" fontId="9" fillId="45" borderId="2" xfId="11" applyFill="1" applyAlignment="1">
      <alignment horizontal="centerContinuous" vertical="center"/>
    </xf>
    <xf numFmtId="9" fontId="5" fillId="45" borderId="2" xfId="2" applyFont="1" applyFill="1" applyBorder="1" applyAlignment="1">
      <alignment horizontal="centerContinuous" vertical="center"/>
    </xf>
    <xf numFmtId="169" fontId="0" fillId="45" borderId="2" xfId="0" applyNumberFormat="1" applyFill="1" applyBorder="1" applyAlignment="1">
      <alignment horizontal="centerContinuous" vertical="center"/>
    </xf>
    <xf numFmtId="169" fontId="5" fillId="45" borderId="2" xfId="0" applyNumberFormat="1" applyFont="1" applyFill="1" applyBorder="1" applyAlignment="1">
      <alignment horizontal="centerContinuous" vertical="center"/>
    </xf>
    <xf numFmtId="0" fontId="6" fillId="6" borderId="2" xfId="0" applyFont="1" applyFill="1" applyBorder="1" applyAlignment="1">
      <alignment horizontal="centerContinuous" vertical="center"/>
    </xf>
    <xf numFmtId="0" fontId="9" fillId="6" borderId="2" xfId="11" applyFill="1" applyAlignment="1">
      <alignment horizontal="centerContinuous" vertical="center"/>
    </xf>
    <xf numFmtId="9" fontId="5" fillId="6" borderId="2" xfId="2" applyFont="1" applyFill="1" applyBorder="1" applyAlignment="1">
      <alignment horizontal="centerContinuous" vertical="center"/>
    </xf>
    <xf numFmtId="169" fontId="0" fillId="6" borderId="2" xfId="0" applyNumberFormat="1" applyFill="1" applyBorder="1" applyAlignment="1">
      <alignment horizontal="centerContinuous" vertical="center"/>
    </xf>
    <xf numFmtId="169" fontId="5" fillId="6" borderId="2" xfId="0" applyNumberFormat="1" applyFont="1" applyFill="1" applyBorder="1" applyAlignment="1">
      <alignment horizontal="centerContinuous" vertical="center"/>
    </xf>
    <xf numFmtId="0" fontId="6" fillId="5" borderId="2" xfId="0" applyFont="1" applyFill="1" applyBorder="1" applyAlignment="1">
      <alignment horizontal="centerContinuous" vertical="center"/>
    </xf>
    <xf numFmtId="0" fontId="9" fillId="5" borderId="2" xfId="11" applyFill="1" applyAlignment="1">
      <alignment horizontal="centerContinuous" vertical="center"/>
    </xf>
    <xf numFmtId="9" fontId="5" fillId="5" borderId="2" xfId="2" applyFont="1" applyFill="1" applyBorder="1" applyAlignment="1">
      <alignment horizontal="centerContinuous" vertical="center"/>
    </xf>
    <xf numFmtId="169" fontId="0" fillId="5" borderId="2" xfId="0" applyNumberFormat="1" applyFill="1" applyBorder="1" applyAlignment="1">
      <alignment horizontal="centerContinuous" vertical="center"/>
    </xf>
    <xf numFmtId="169" fontId="5" fillId="5" borderId="2" xfId="0" applyNumberFormat="1" applyFont="1" applyFill="1" applyBorder="1" applyAlignment="1">
      <alignment horizontal="centerContinuous" vertical="center"/>
    </xf>
    <xf numFmtId="0" fontId="9" fillId="10" borderId="2" xfId="12" applyFont="1" applyFill="1" applyAlignment="1">
      <alignment horizontal="left" vertical="center"/>
    </xf>
    <xf numFmtId="0" fontId="9" fillId="0" borderId="0" xfId="8" applyAlignment="1">
      <alignment horizontal="right" vertical="center"/>
    </xf>
    <xf numFmtId="0" fontId="9" fillId="0" borderId="7" xfId="8" applyBorder="1" applyAlignment="1">
      <alignment horizontal="right" vertical="center"/>
    </xf>
    <xf numFmtId="0" fontId="0" fillId="0" borderId="10" xfId="0" applyBorder="1" applyAlignment="1">
      <alignment vertical="center"/>
    </xf>
    <xf numFmtId="171" fontId="15" fillId="42" borderId="4" xfId="0" applyNumberFormat="1" applyFont="1" applyFill="1" applyBorder="1" applyAlignment="1">
      <alignment horizontal="left" vertical="center" wrapText="1"/>
    </xf>
    <xf numFmtId="171" fontId="15" fillId="42" borderId="1" xfId="0" applyNumberFormat="1" applyFont="1" applyFill="1" applyBorder="1" applyAlignment="1">
      <alignment horizontal="left" vertical="center" wrapText="1"/>
    </xf>
    <xf numFmtId="171" fontId="15" fillId="42" borderId="5" xfId="0" applyNumberFormat="1" applyFont="1" applyFill="1" applyBorder="1" applyAlignment="1">
      <alignment horizontal="left" vertical="center" wrapText="1"/>
    </xf>
    <xf numFmtId="170" fontId="9" fillId="0" borderId="3" xfId="9" applyNumberFormat="1" applyAlignment="1">
      <alignment horizontal="center" vertical="center"/>
    </xf>
    <xf numFmtId="0" fontId="6" fillId="46" borderId="17" xfId="0" applyFont="1" applyFill="1" applyBorder="1" applyAlignment="1">
      <alignment horizontal="center" vertical="center" wrapText="1"/>
    </xf>
    <xf numFmtId="0" fontId="0" fillId="0" borderId="17" xfId="0" applyBorder="1" applyAlignment="1">
      <alignment horizontal="center" vertical="center" wrapText="1"/>
    </xf>
    <xf numFmtId="9" fontId="0" fillId="0" borderId="17" xfId="0" applyNumberFormat="1" applyBorder="1" applyAlignment="1">
      <alignment horizontal="center" vertical="center" wrapText="1"/>
    </xf>
    <xf numFmtId="14" fontId="0" fillId="0" borderId="17" xfId="0" applyNumberFormat="1" applyBorder="1" applyAlignment="1">
      <alignment horizontal="center" vertical="center" wrapText="1"/>
    </xf>
    <xf numFmtId="0" fontId="0" fillId="0" borderId="18" xfId="0" applyBorder="1" applyAlignment="1">
      <alignment horizontal="center" vertical="center"/>
    </xf>
    <xf numFmtId="0" fontId="0" fillId="0" borderId="18" xfId="0" applyFill="1" applyBorder="1" applyAlignment="1">
      <alignment horizontal="center" vertical="center" wrapText="1"/>
    </xf>
  </cellXfs>
  <cellStyles count="55">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00000000-0005-0000-0000-00001E000000}"/>
    <cellStyle name="Hipervínculo" xfId="1" builtinId="8" customBuiltin="1"/>
    <cellStyle name="Hipervínculo visitado" xfId="13" builtinId="9" customBuiltin="1"/>
    <cellStyle name="Incorrecto" xfId="19" builtinId="27" customBuiltin="1"/>
    <cellStyle name="Inicio del proyecto" xfId="9" xr:uid="{00000000-0005-0000-0000-000022000000}"/>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00000000-0005-0000-0000-000028000000}"/>
    <cellStyle name="Normal" xfId="0" builtinId="0" customBuiltin="1"/>
    <cellStyle name="Normal 2 2 2" xfId="54" xr:uid="{00000000-0005-0000-0000-00002A000000}"/>
    <cellStyle name="Notas" xfId="27" builtinId="10" customBuiltin="1"/>
    <cellStyle name="Porcentaje" xfId="2" builtinId="5" customBuiltin="1"/>
    <cellStyle name="Salida" xfId="22" builtinId="21" customBuiltin="1"/>
    <cellStyle name="Tarea" xfId="12" xr:uid="{00000000-0005-0000-0000-00002E000000}"/>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00000000-0005-0000-0000-000036000000}"/>
  </cellStyles>
  <dxfs count="12">
    <dxf>
      <fill>
        <patternFill>
          <bgColor rgb="FF00B0F0"/>
        </patternFill>
      </fill>
      <border>
        <left/>
        <right/>
      </border>
    </dxf>
    <dxf>
      <fill>
        <patternFill>
          <bgColor rgb="FF00B050"/>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imagenes\plantillas\Libro-diario-exc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neudy/Pictures/plantillas/Hoja%20de%20balanc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RIO"/>
      <sheetName val="MAYOR"/>
      <sheetName val="BALANCE"/>
      <sheetName val="RESULTADO"/>
    </sheetNames>
    <sheetDataSet>
      <sheetData sheetId="0">
        <row r="12">
          <cell r="C12" t="str">
            <v>1.1.1.01</v>
          </cell>
          <cell r="F12">
            <v>5000</v>
          </cell>
        </row>
        <row r="13">
          <cell r="C13" t="str">
            <v>4.1.1.01</v>
          </cell>
          <cell r="G13">
            <v>5000</v>
          </cell>
        </row>
        <row r="14">
          <cell r="C14" t="str">
            <v>5.1.1.1</v>
          </cell>
          <cell r="F14">
            <v>4000</v>
          </cell>
        </row>
        <row r="15">
          <cell r="C15" t="str">
            <v>1.1.4.01</v>
          </cell>
          <cell r="G15">
            <v>4000</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DESCARGA DE RESPONSABILIDAD"/>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N50"/>
  <sheetViews>
    <sheetView showGridLines="0" showRuler="0" topLeftCell="A23" zoomScaleNormal="100" zoomScalePageLayoutView="70" workbookViewId="0">
      <selection activeCell="G9" sqref="G9"/>
    </sheetView>
  </sheetViews>
  <sheetFormatPr baseColWidth="10" defaultColWidth="9.140625" defaultRowHeight="30" customHeight="1" x14ac:dyDescent="0.25"/>
  <cols>
    <col min="1" max="1" width="2.7109375" style="42" customWidth="1"/>
    <col min="2" max="2" width="9.140625" style="43" bestFit="1" customWidth="1"/>
    <col min="3" max="3" width="35.42578125" style="1" bestFit="1" customWidth="1"/>
    <col min="4" max="4" width="30.140625" style="1" bestFit="1" customWidth="1"/>
    <col min="5" max="5" width="60.140625" style="1" bestFit="1" customWidth="1"/>
    <col min="6" max="6" width="13" style="1" customWidth="1"/>
    <col min="7" max="7" width="10.42578125" style="43" customWidth="1"/>
    <col min="8" max="8" width="10.42578125" style="1" customWidth="1"/>
    <col min="9" max="9" width="2.7109375" style="1" customWidth="1"/>
    <col min="10" max="10" width="6.140625" style="1" hidden="1" customWidth="1"/>
    <col min="11" max="27" width="2.5703125" style="1" customWidth="1"/>
    <col min="28" max="28" width="3" style="1" customWidth="1"/>
    <col min="29" max="66" width="2.5703125" style="1" customWidth="1"/>
    <col min="67" max="70" width="9.140625" style="1"/>
    <col min="71" max="72" width="10.28515625" style="1"/>
    <col min="73" max="16384" width="9.140625" style="1"/>
  </cols>
  <sheetData>
    <row r="1" spans="1:66" ht="30" customHeight="1" x14ac:dyDescent="0.25">
      <c r="A1" s="38" t="s">
        <v>0</v>
      </c>
      <c r="B1" s="30"/>
      <c r="C1" s="28" t="s">
        <v>21</v>
      </c>
      <c r="D1" s="39"/>
      <c r="E1" s="39"/>
      <c r="F1" s="40"/>
      <c r="G1" s="16"/>
      <c r="H1" s="16"/>
      <c r="J1" s="40"/>
      <c r="K1" s="41" t="s">
        <v>20</v>
      </c>
    </row>
    <row r="2" spans="1:66" ht="30" customHeight="1" x14ac:dyDescent="0.25">
      <c r="A2" s="42" t="s">
        <v>1</v>
      </c>
      <c r="B2" s="31"/>
      <c r="C2" s="26"/>
      <c r="D2" s="96" t="s">
        <v>14</v>
      </c>
      <c r="E2" s="96"/>
      <c r="F2" s="97"/>
      <c r="G2" s="102">
        <v>45822</v>
      </c>
      <c r="H2" s="102"/>
      <c r="K2" s="44"/>
    </row>
    <row r="3" spans="1:66" ht="30" customHeight="1" x14ac:dyDescent="0.25">
      <c r="A3" s="42" t="s">
        <v>2</v>
      </c>
      <c r="B3" s="32"/>
      <c r="C3" s="27" t="s">
        <v>22</v>
      </c>
      <c r="D3" s="96" t="s">
        <v>100</v>
      </c>
      <c r="E3" s="96"/>
      <c r="F3" s="97"/>
      <c r="G3" s="102">
        <v>45931</v>
      </c>
      <c r="H3" s="102"/>
    </row>
    <row r="4" spans="1:66" ht="30" customHeight="1" x14ac:dyDescent="0.25">
      <c r="A4" s="38" t="s">
        <v>3</v>
      </c>
      <c r="D4" s="96" t="s">
        <v>15</v>
      </c>
      <c r="E4" s="96"/>
      <c r="F4" s="97"/>
      <c r="G4" s="3">
        <v>-15</v>
      </c>
      <c r="K4" s="99">
        <f>K5</f>
        <v>45817</v>
      </c>
      <c r="L4" s="100"/>
      <c r="M4" s="100"/>
      <c r="N4" s="100"/>
      <c r="O4" s="100"/>
      <c r="P4" s="100"/>
      <c r="Q4" s="101"/>
      <c r="R4" s="99">
        <f>R5</f>
        <v>45824</v>
      </c>
      <c r="S4" s="100"/>
      <c r="T4" s="100"/>
      <c r="U4" s="100"/>
      <c r="V4" s="100"/>
      <c r="W4" s="100"/>
      <c r="X4" s="101"/>
      <c r="Y4" s="99">
        <f>Y5</f>
        <v>45831</v>
      </c>
      <c r="Z4" s="100"/>
      <c r="AA4" s="100"/>
      <c r="AB4" s="100"/>
      <c r="AC4" s="100"/>
      <c r="AD4" s="100"/>
      <c r="AE4" s="101"/>
      <c r="AF4" s="99">
        <f>AF5</f>
        <v>45838</v>
      </c>
      <c r="AG4" s="100"/>
      <c r="AH4" s="100"/>
      <c r="AI4" s="100"/>
      <c r="AJ4" s="100"/>
      <c r="AK4" s="100"/>
      <c r="AL4" s="101"/>
      <c r="AM4" s="99">
        <f>AM5</f>
        <v>45845</v>
      </c>
      <c r="AN4" s="100"/>
      <c r="AO4" s="100"/>
      <c r="AP4" s="100"/>
      <c r="AQ4" s="100"/>
      <c r="AR4" s="100"/>
      <c r="AS4" s="101"/>
      <c r="AT4" s="99">
        <f>AT5</f>
        <v>45852</v>
      </c>
      <c r="AU4" s="100"/>
      <c r="AV4" s="100"/>
      <c r="AW4" s="100"/>
      <c r="AX4" s="100"/>
      <c r="AY4" s="100"/>
      <c r="AZ4" s="101"/>
      <c r="BA4" s="99">
        <f>BA5</f>
        <v>45859</v>
      </c>
      <c r="BB4" s="100"/>
      <c r="BC4" s="100"/>
      <c r="BD4" s="100"/>
      <c r="BE4" s="100"/>
      <c r="BF4" s="100"/>
      <c r="BG4" s="101"/>
      <c r="BH4" s="99">
        <f>BH5</f>
        <v>45866</v>
      </c>
      <c r="BI4" s="100"/>
      <c r="BJ4" s="100"/>
      <c r="BK4" s="100"/>
      <c r="BL4" s="100"/>
      <c r="BM4" s="100"/>
      <c r="BN4" s="101"/>
    </row>
    <row r="5" spans="1:66" ht="15" customHeight="1" x14ac:dyDescent="0.25">
      <c r="A5" s="38" t="s">
        <v>4</v>
      </c>
      <c r="B5" s="45"/>
      <c r="C5" s="98"/>
      <c r="D5" s="98"/>
      <c r="E5" s="98"/>
      <c r="F5" s="98"/>
      <c r="G5" s="98"/>
      <c r="H5" s="98"/>
      <c r="I5" s="98"/>
      <c r="K5" s="21">
        <f>InicioDelProyecto-WEEKDAY(InicioDelProyecto,1)+2+7*(SemanaParaMostrar-1)</f>
        <v>45817</v>
      </c>
      <c r="L5" s="22">
        <f>K5+1</f>
        <v>45818</v>
      </c>
      <c r="M5" s="22">
        <f t="shared" ref="M5:AZ5" si="0">L5+1</f>
        <v>45819</v>
      </c>
      <c r="N5" s="22">
        <f t="shared" si="0"/>
        <v>45820</v>
      </c>
      <c r="O5" s="22">
        <f t="shared" si="0"/>
        <v>45821</v>
      </c>
      <c r="P5" s="22">
        <f t="shared" si="0"/>
        <v>45822</v>
      </c>
      <c r="Q5" s="23">
        <f t="shared" si="0"/>
        <v>45823</v>
      </c>
      <c r="R5" s="21">
        <f>Q5+1</f>
        <v>45824</v>
      </c>
      <c r="S5" s="22">
        <f>R5+1</f>
        <v>45825</v>
      </c>
      <c r="T5" s="22">
        <f t="shared" si="0"/>
        <v>45826</v>
      </c>
      <c r="U5" s="22">
        <f t="shared" si="0"/>
        <v>45827</v>
      </c>
      <c r="V5" s="22">
        <f t="shared" si="0"/>
        <v>45828</v>
      </c>
      <c r="W5" s="22">
        <f t="shared" si="0"/>
        <v>45829</v>
      </c>
      <c r="X5" s="23">
        <f t="shared" si="0"/>
        <v>45830</v>
      </c>
      <c r="Y5" s="21">
        <f>X5+1</f>
        <v>45831</v>
      </c>
      <c r="Z5" s="22">
        <f>Y5+1</f>
        <v>45832</v>
      </c>
      <c r="AA5" s="22">
        <f t="shared" si="0"/>
        <v>45833</v>
      </c>
      <c r="AB5" s="22">
        <f t="shared" si="0"/>
        <v>45834</v>
      </c>
      <c r="AC5" s="22">
        <f t="shared" si="0"/>
        <v>45835</v>
      </c>
      <c r="AD5" s="22">
        <f t="shared" si="0"/>
        <v>45836</v>
      </c>
      <c r="AE5" s="23">
        <f t="shared" si="0"/>
        <v>45837</v>
      </c>
      <c r="AF5" s="21">
        <f>AE5+1</f>
        <v>45838</v>
      </c>
      <c r="AG5" s="22">
        <f>AF5+1</f>
        <v>45839</v>
      </c>
      <c r="AH5" s="22">
        <f t="shared" si="0"/>
        <v>45840</v>
      </c>
      <c r="AI5" s="22">
        <f t="shared" si="0"/>
        <v>45841</v>
      </c>
      <c r="AJ5" s="22">
        <f t="shared" si="0"/>
        <v>45842</v>
      </c>
      <c r="AK5" s="22">
        <f t="shared" si="0"/>
        <v>45843</v>
      </c>
      <c r="AL5" s="23">
        <f t="shared" si="0"/>
        <v>45844</v>
      </c>
      <c r="AM5" s="21">
        <f>AL5+1</f>
        <v>45845</v>
      </c>
      <c r="AN5" s="22">
        <f>AM5+1</f>
        <v>45846</v>
      </c>
      <c r="AO5" s="22">
        <f t="shared" si="0"/>
        <v>45847</v>
      </c>
      <c r="AP5" s="22">
        <f t="shared" si="0"/>
        <v>45848</v>
      </c>
      <c r="AQ5" s="22">
        <f t="shared" si="0"/>
        <v>45849</v>
      </c>
      <c r="AR5" s="22">
        <f t="shared" si="0"/>
        <v>45850</v>
      </c>
      <c r="AS5" s="23">
        <f t="shared" si="0"/>
        <v>45851</v>
      </c>
      <c r="AT5" s="21">
        <f>AS5+1</f>
        <v>45852</v>
      </c>
      <c r="AU5" s="22">
        <f>AT5+1</f>
        <v>45853</v>
      </c>
      <c r="AV5" s="22">
        <f t="shared" si="0"/>
        <v>45854</v>
      </c>
      <c r="AW5" s="22">
        <f t="shared" si="0"/>
        <v>45855</v>
      </c>
      <c r="AX5" s="22">
        <f t="shared" si="0"/>
        <v>45856</v>
      </c>
      <c r="AY5" s="22">
        <f t="shared" si="0"/>
        <v>45857</v>
      </c>
      <c r="AZ5" s="23">
        <f t="shared" si="0"/>
        <v>45858</v>
      </c>
      <c r="BA5" s="21">
        <f>AZ5+1</f>
        <v>45859</v>
      </c>
      <c r="BB5" s="22">
        <f>BA5+1</f>
        <v>45860</v>
      </c>
      <c r="BC5" s="22">
        <f t="shared" ref="BC5:BG5" si="1">BB5+1</f>
        <v>45861</v>
      </c>
      <c r="BD5" s="22">
        <f t="shared" si="1"/>
        <v>45862</v>
      </c>
      <c r="BE5" s="22">
        <f t="shared" si="1"/>
        <v>45863</v>
      </c>
      <c r="BF5" s="22">
        <f t="shared" si="1"/>
        <v>45864</v>
      </c>
      <c r="BG5" s="23">
        <f t="shared" si="1"/>
        <v>45865</v>
      </c>
      <c r="BH5" s="21">
        <f>BG5+1</f>
        <v>45866</v>
      </c>
      <c r="BI5" s="22">
        <f>BH5+1</f>
        <v>45867</v>
      </c>
      <c r="BJ5" s="22">
        <f t="shared" ref="BJ5:BN5" si="2">BI5+1</f>
        <v>45868</v>
      </c>
      <c r="BK5" s="22">
        <f t="shared" si="2"/>
        <v>45869</v>
      </c>
      <c r="BL5" s="22">
        <f t="shared" si="2"/>
        <v>45870</v>
      </c>
      <c r="BM5" s="22">
        <f t="shared" si="2"/>
        <v>45871</v>
      </c>
      <c r="BN5" s="23">
        <f t="shared" si="2"/>
        <v>45872</v>
      </c>
    </row>
    <row r="6" spans="1:66" ht="30" customHeight="1" thickBot="1" x14ac:dyDescent="0.3">
      <c r="A6" s="38" t="s">
        <v>5</v>
      </c>
      <c r="B6" s="33" t="s">
        <v>74</v>
      </c>
      <c r="C6" s="33" t="s">
        <v>12</v>
      </c>
      <c r="D6" s="19" t="s">
        <v>79</v>
      </c>
      <c r="E6" s="19" t="s">
        <v>33</v>
      </c>
      <c r="F6" s="19" t="s">
        <v>16</v>
      </c>
      <c r="G6" s="19" t="s">
        <v>17</v>
      </c>
      <c r="H6" s="19" t="s">
        <v>18</v>
      </c>
      <c r="I6" s="19"/>
      <c r="J6" s="19" t="s">
        <v>19</v>
      </c>
      <c r="K6" s="20" t="str">
        <f t="shared" ref="K6" si="3">LEFT(TEXT(K5,"ddd"),1)</f>
        <v>l</v>
      </c>
      <c r="L6" s="20" t="str">
        <f t="shared" ref="L6:AT6" si="4">LEFT(TEXT(L5,"ddd"),1)</f>
        <v>m</v>
      </c>
      <c r="M6" s="20" t="str">
        <f t="shared" si="4"/>
        <v>m</v>
      </c>
      <c r="N6" s="20" t="str">
        <f t="shared" si="4"/>
        <v>j</v>
      </c>
      <c r="O6" s="20" t="str">
        <f t="shared" si="4"/>
        <v>v</v>
      </c>
      <c r="P6" s="20" t="str">
        <f t="shared" si="4"/>
        <v>s</v>
      </c>
      <c r="Q6" s="20" t="str">
        <f t="shared" si="4"/>
        <v>d</v>
      </c>
      <c r="R6" s="20" t="str">
        <f t="shared" si="4"/>
        <v>l</v>
      </c>
      <c r="S6" s="20" t="str">
        <f t="shared" si="4"/>
        <v>m</v>
      </c>
      <c r="T6" s="20" t="str">
        <f t="shared" si="4"/>
        <v>m</v>
      </c>
      <c r="U6" s="20" t="str">
        <f t="shared" si="4"/>
        <v>j</v>
      </c>
      <c r="V6" s="20" t="str">
        <f t="shared" si="4"/>
        <v>v</v>
      </c>
      <c r="W6" s="20" t="str">
        <f t="shared" si="4"/>
        <v>s</v>
      </c>
      <c r="X6" s="20" t="str">
        <f t="shared" si="4"/>
        <v>d</v>
      </c>
      <c r="Y6" s="20" t="str">
        <f t="shared" si="4"/>
        <v>l</v>
      </c>
      <c r="Z6" s="20" t="str">
        <f t="shared" si="4"/>
        <v>m</v>
      </c>
      <c r="AA6" s="20" t="str">
        <f t="shared" si="4"/>
        <v>m</v>
      </c>
      <c r="AB6" s="20" t="str">
        <f t="shared" si="4"/>
        <v>j</v>
      </c>
      <c r="AC6" s="20" t="str">
        <f t="shared" si="4"/>
        <v>v</v>
      </c>
      <c r="AD6" s="20" t="str">
        <f t="shared" si="4"/>
        <v>s</v>
      </c>
      <c r="AE6" s="20" t="str">
        <f t="shared" si="4"/>
        <v>d</v>
      </c>
      <c r="AF6" s="20" t="str">
        <f t="shared" si="4"/>
        <v>l</v>
      </c>
      <c r="AG6" s="20" t="str">
        <f t="shared" si="4"/>
        <v>m</v>
      </c>
      <c r="AH6" s="20" t="str">
        <f t="shared" si="4"/>
        <v>m</v>
      </c>
      <c r="AI6" s="20" t="str">
        <f t="shared" si="4"/>
        <v>j</v>
      </c>
      <c r="AJ6" s="20" t="str">
        <f t="shared" si="4"/>
        <v>v</v>
      </c>
      <c r="AK6" s="20" t="str">
        <f t="shared" si="4"/>
        <v>s</v>
      </c>
      <c r="AL6" s="20" t="str">
        <f t="shared" si="4"/>
        <v>d</v>
      </c>
      <c r="AM6" s="20" t="str">
        <f t="shared" si="4"/>
        <v>l</v>
      </c>
      <c r="AN6" s="20" t="str">
        <f t="shared" si="4"/>
        <v>m</v>
      </c>
      <c r="AO6" s="20" t="str">
        <f t="shared" si="4"/>
        <v>m</v>
      </c>
      <c r="AP6" s="20" t="str">
        <f t="shared" si="4"/>
        <v>j</v>
      </c>
      <c r="AQ6" s="20" t="str">
        <f t="shared" si="4"/>
        <v>v</v>
      </c>
      <c r="AR6" s="20" t="str">
        <f t="shared" si="4"/>
        <v>s</v>
      </c>
      <c r="AS6" s="20" t="str">
        <f t="shared" si="4"/>
        <v>d</v>
      </c>
      <c r="AT6" s="20" t="str">
        <f t="shared" si="4"/>
        <v>l</v>
      </c>
      <c r="AU6" s="20" t="str">
        <f t="shared" ref="AU6:BN6" si="5">LEFT(TEXT(AU5,"ddd"),1)</f>
        <v>m</v>
      </c>
      <c r="AV6" s="20" t="str">
        <f t="shared" si="5"/>
        <v>m</v>
      </c>
      <c r="AW6" s="20" t="str">
        <f t="shared" si="5"/>
        <v>j</v>
      </c>
      <c r="AX6" s="20" t="str">
        <f t="shared" si="5"/>
        <v>v</v>
      </c>
      <c r="AY6" s="20" t="str">
        <f t="shared" si="5"/>
        <v>s</v>
      </c>
      <c r="AZ6" s="20" t="str">
        <f t="shared" si="5"/>
        <v>d</v>
      </c>
      <c r="BA6" s="20" t="str">
        <f t="shared" si="5"/>
        <v>l</v>
      </c>
      <c r="BB6" s="20" t="str">
        <f t="shared" si="5"/>
        <v>m</v>
      </c>
      <c r="BC6" s="20" t="str">
        <f t="shared" si="5"/>
        <v>m</v>
      </c>
      <c r="BD6" s="20" t="str">
        <f t="shared" si="5"/>
        <v>j</v>
      </c>
      <c r="BE6" s="20" t="str">
        <f t="shared" si="5"/>
        <v>v</v>
      </c>
      <c r="BF6" s="20" t="str">
        <f t="shared" si="5"/>
        <v>s</v>
      </c>
      <c r="BG6" s="20" t="str">
        <f t="shared" si="5"/>
        <v>d</v>
      </c>
      <c r="BH6" s="20" t="str">
        <f t="shared" si="5"/>
        <v>l</v>
      </c>
      <c r="BI6" s="20" t="str">
        <f t="shared" si="5"/>
        <v>m</v>
      </c>
      <c r="BJ6" s="20" t="str">
        <f t="shared" si="5"/>
        <v>m</v>
      </c>
      <c r="BK6" s="20" t="str">
        <f t="shared" si="5"/>
        <v>j</v>
      </c>
      <c r="BL6" s="20" t="str">
        <f t="shared" si="5"/>
        <v>v</v>
      </c>
      <c r="BM6" s="20" t="str">
        <f t="shared" si="5"/>
        <v>s</v>
      </c>
      <c r="BN6" s="20" t="str">
        <f t="shared" si="5"/>
        <v>d</v>
      </c>
    </row>
    <row r="7" spans="1:66" ht="15.75" hidden="1" customHeight="1" thickBot="1" x14ac:dyDescent="0.3">
      <c r="A7" s="42" t="s">
        <v>6</v>
      </c>
      <c r="D7" s="46"/>
      <c r="E7" s="46"/>
      <c r="G7" s="1"/>
      <c r="J7" s="1" t="str">
        <f>IF(OR(ISBLANK(Fecha_incio),ISBLANK(Fecha_final)),"",Fecha_final-Fecha_incio+1)</f>
        <v/>
      </c>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row>
    <row r="8" spans="1:66" ht="30" customHeight="1" thickBot="1" x14ac:dyDescent="0.3">
      <c r="A8" s="38" t="s">
        <v>10</v>
      </c>
      <c r="B8" s="70" t="s">
        <v>24</v>
      </c>
      <c r="C8" s="70"/>
      <c r="D8" s="71"/>
      <c r="E8" s="71"/>
      <c r="F8" s="72"/>
      <c r="G8" s="73"/>
      <c r="H8" s="74"/>
      <c r="I8" s="5"/>
      <c r="J8" s="5" t="str">
        <f t="shared" ref="J8:J46" si="6">IF(OR(ISBLANK(Fecha_incio),ISBLANK(Fecha_final)),"",Fecha_final-Fecha_incio+1)</f>
        <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row>
    <row r="9" spans="1:66" ht="30" customHeight="1" thickBot="1" x14ac:dyDescent="0.3">
      <c r="A9" s="38"/>
      <c r="B9" s="29" t="s">
        <v>78</v>
      </c>
      <c r="C9" s="47" t="s">
        <v>70</v>
      </c>
      <c r="D9" s="48"/>
      <c r="E9" s="48"/>
      <c r="F9" s="7">
        <v>0.3</v>
      </c>
      <c r="G9" s="49">
        <f>G2+1</f>
        <v>45823</v>
      </c>
      <c r="H9" s="49">
        <f>G9+4</f>
        <v>45827</v>
      </c>
      <c r="I9" s="5"/>
      <c r="J9" s="5">
        <f t="shared" si="6"/>
        <v>5</v>
      </c>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row>
    <row r="10" spans="1:66" ht="30" customHeight="1" thickBot="1" x14ac:dyDescent="0.3">
      <c r="B10" s="69" t="s">
        <v>80</v>
      </c>
      <c r="C10" s="47" t="s">
        <v>29</v>
      </c>
      <c r="D10" s="48"/>
      <c r="E10" s="48"/>
      <c r="F10" s="7">
        <v>0.1</v>
      </c>
      <c r="G10" s="49">
        <f>G9+2</f>
        <v>45825</v>
      </c>
      <c r="H10" s="49">
        <f>G10+5</f>
        <v>45830</v>
      </c>
      <c r="I10" s="5"/>
      <c r="J10" s="5">
        <f t="shared" si="6"/>
        <v>6</v>
      </c>
      <c r="K10" s="13"/>
      <c r="L10" s="13"/>
      <c r="M10" s="13"/>
      <c r="N10" s="13"/>
      <c r="O10" s="13"/>
      <c r="P10" s="13"/>
      <c r="Q10" s="13"/>
      <c r="R10" s="13"/>
      <c r="S10" s="13"/>
      <c r="T10" s="13"/>
      <c r="U10" s="13"/>
      <c r="V10" s="13"/>
      <c r="W10" s="14"/>
      <c r="X10" s="14"/>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row>
    <row r="11" spans="1:66" ht="30" customHeight="1" thickBot="1" x14ac:dyDescent="0.3">
      <c r="B11" s="68" t="s">
        <v>81</v>
      </c>
      <c r="C11" s="47" t="s">
        <v>71</v>
      </c>
      <c r="D11" s="48"/>
      <c r="E11" s="48"/>
      <c r="F11" s="7">
        <v>0.5</v>
      </c>
      <c r="G11" s="49">
        <f>H10</f>
        <v>45830</v>
      </c>
      <c r="H11" s="49">
        <f>G11+3</f>
        <v>45833</v>
      </c>
      <c r="I11" s="5"/>
      <c r="J11" s="5">
        <f t="shared" si="6"/>
        <v>4</v>
      </c>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row>
    <row r="12" spans="1:66" ht="30" customHeight="1" thickBot="1" x14ac:dyDescent="0.3">
      <c r="B12" s="68" t="s">
        <v>81</v>
      </c>
      <c r="C12" s="47" t="s">
        <v>72</v>
      </c>
      <c r="D12" s="48"/>
      <c r="E12" s="48"/>
      <c r="F12" s="7">
        <v>0.8</v>
      </c>
      <c r="G12" s="49">
        <f>G11</f>
        <v>45830</v>
      </c>
      <c r="H12" s="49">
        <f>G12+2</f>
        <v>45832</v>
      </c>
      <c r="I12" s="5"/>
      <c r="J12" s="5">
        <f t="shared" si="6"/>
        <v>3</v>
      </c>
      <c r="K12" s="13"/>
      <c r="L12" s="13"/>
      <c r="M12" s="13"/>
      <c r="N12" s="13"/>
      <c r="O12" s="13"/>
      <c r="P12" s="13"/>
      <c r="Q12" s="13"/>
      <c r="R12" s="13"/>
      <c r="S12" s="13"/>
      <c r="T12" s="13"/>
      <c r="U12" s="13"/>
      <c r="V12" s="13"/>
      <c r="W12" s="13"/>
      <c r="X12" s="13"/>
      <c r="Y12" s="13"/>
      <c r="Z12" s="13"/>
      <c r="AA12" s="14"/>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row>
    <row r="13" spans="1:66" ht="30" customHeight="1" thickBot="1" x14ac:dyDescent="0.3">
      <c r="A13" s="38" t="s">
        <v>7</v>
      </c>
      <c r="B13" s="75" t="s">
        <v>23</v>
      </c>
      <c r="C13" s="75"/>
      <c r="D13" s="76"/>
      <c r="E13" s="76"/>
      <c r="F13" s="77"/>
      <c r="G13" s="78"/>
      <c r="H13" s="79"/>
      <c r="I13" s="5"/>
      <c r="J13" s="5" t="str">
        <f t="shared" si="6"/>
        <v/>
      </c>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row>
    <row r="14" spans="1:66" ht="30" customHeight="1" thickBot="1" x14ac:dyDescent="0.3">
      <c r="A14" s="38" t="s">
        <v>8</v>
      </c>
      <c r="B14" s="29" t="s">
        <v>78</v>
      </c>
      <c r="C14" s="50" t="s">
        <v>73</v>
      </c>
      <c r="D14" s="51"/>
      <c r="E14" s="51"/>
      <c r="F14" s="6">
        <v>0.8</v>
      </c>
      <c r="G14" s="52">
        <f>InicioDelProyecto</f>
        <v>45931</v>
      </c>
      <c r="H14" s="52">
        <f>G14+6</f>
        <v>45937</v>
      </c>
      <c r="I14" s="5"/>
      <c r="J14" s="5">
        <f t="shared" si="6"/>
        <v>7</v>
      </c>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row>
    <row r="15" spans="1:66" ht="30" customHeight="1" thickBot="1" x14ac:dyDescent="0.3">
      <c r="A15" s="38"/>
      <c r="B15" s="69" t="s">
        <v>80</v>
      </c>
      <c r="C15" s="50" t="s">
        <v>45</v>
      </c>
      <c r="D15" s="51" t="s">
        <v>46</v>
      </c>
      <c r="E15" s="51"/>
      <c r="F15" s="6">
        <v>0.8</v>
      </c>
      <c r="G15" s="52">
        <v>45837</v>
      </c>
      <c r="H15" s="52">
        <v>45837</v>
      </c>
      <c r="I15" s="5"/>
      <c r="J15" s="5"/>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row>
    <row r="16" spans="1:66" ht="30" customHeight="1" thickBot="1" x14ac:dyDescent="0.3">
      <c r="A16" s="38"/>
      <c r="B16" s="68" t="s">
        <v>81</v>
      </c>
      <c r="C16" s="50" t="s">
        <v>50</v>
      </c>
      <c r="D16" s="51" t="s">
        <v>51</v>
      </c>
      <c r="E16" s="51" t="s">
        <v>52</v>
      </c>
      <c r="F16" s="6">
        <v>0.1</v>
      </c>
      <c r="G16" s="52">
        <v>45851</v>
      </c>
      <c r="H16" s="52">
        <f>G16+6</f>
        <v>45857</v>
      </c>
      <c r="I16" s="5"/>
      <c r="J16" s="5"/>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row>
    <row r="17" spans="1:66" ht="30" customHeight="1" thickBot="1" x14ac:dyDescent="0.3">
      <c r="A17" s="38"/>
      <c r="B17" s="68" t="s">
        <v>81</v>
      </c>
      <c r="C17" s="50" t="s">
        <v>48</v>
      </c>
      <c r="D17" s="51" t="s">
        <v>47</v>
      </c>
      <c r="E17" s="51" t="s">
        <v>49</v>
      </c>
      <c r="F17" s="6">
        <v>0.2</v>
      </c>
      <c r="G17" s="52">
        <v>45837</v>
      </c>
      <c r="H17" s="52"/>
      <c r="I17" s="5"/>
      <c r="J17" s="5"/>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row>
    <row r="18" spans="1:66" ht="30" customHeight="1" thickBot="1" x14ac:dyDescent="0.3">
      <c r="A18" s="38"/>
      <c r="B18" s="34"/>
      <c r="C18" s="50" t="s">
        <v>25</v>
      </c>
      <c r="D18" s="51"/>
      <c r="E18" s="51"/>
      <c r="F18" s="6">
        <v>0</v>
      </c>
      <c r="G18" s="52">
        <f>H14</f>
        <v>45937</v>
      </c>
      <c r="H18" s="52">
        <f>G18+2</f>
        <v>45939</v>
      </c>
      <c r="I18" s="5"/>
      <c r="J18" s="5"/>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row>
    <row r="19" spans="1:66" ht="30" customHeight="1" thickBot="1" x14ac:dyDescent="0.3">
      <c r="A19" s="38" t="s">
        <v>9</v>
      </c>
      <c r="B19" s="34"/>
      <c r="C19" s="50" t="s">
        <v>26</v>
      </c>
      <c r="D19" s="51"/>
      <c r="E19" s="51"/>
      <c r="F19" s="6">
        <v>0</v>
      </c>
      <c r="G19" s="52">
        <f>H18</f>
        <v>45939</v>
      </c>
      <c r="H19" s="52">
        <f>G19+4</f>
        <v>45943</v>
      </c>
      <c r="I19" s="5"/>
      <c r="J19" s="5">
        <f t="shared" si="6"/>
        <v>5</v>
      </c>
      <c r="K19" s="13"/>
      <c r="L19" s="13"/>
      <c r="M19" s="13"/>
      <c r="N19" s="13"/>
      <c r="O19" s="13"/>
      <c r="P19" s="13"/>
      <c r="Q19" s="13"/>
      <c r="R19" s="13"/>
      <c r="S19" s="13"/>
      <c r="T19" s="13"/>
      <c r="U19" s="13"/>
      <c r="V19" s="13"/>
      <c r="W19" s="14"/>
      <c r="X19" s="14"/>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row>
    <row r="20" spans="1:66" ht="30" customHeight="1" thickBot="1" x14ac:dyDescent="0.3">
      <c r="B20" s="34"/>
      <c r="C20" s="50" t="s">
        <v>30</v>
      </c>
      <c r="D20" s="51" t="s">
        <v>31</v>
      </c>
      <c r="E20" s="51"/>
      <c r="F20" s="6">
        <v>0.5</v>
      </c>
      <c r="G20" s="52">
        <f>H19</f>
        <v>45943</v>
      </c>
      <c r="H20" s="52">
        <f>G20+4</f>
        <v>45947</v>
      </c>
      <c r="I20" s="5"/>
      <c r="J20" s="5">
        <f t="shared" si="6"/>
        <v>5</v>
      </c>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24"/>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row>
    <row r="21" spans="1:66" ht="30" customHeight="1" thickBot="1" x14ac:dyDescent="0.3">
      <c r="B21" s="69" t="s">
        <v>80</v>
      </c>
      <c r="C21" s="50" t="s">
        <v>27</v>
      </c>
      <c r="D21" s="51"/>
      <c r="E21" s="51"/>
      <c r="F21" s="6">
        <v>0.3</v>
      </c>
      <c r="G21" s="52">
        <f>H19</f>
        <v>45943</v>
      </c>
      <c r="H21" s="52">
        <f>G21+5</f>
        <v>45948</v>
      </c>
      <c r="I21" s="5"/>
      <c r="J21" s="5"/>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24"/>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row>
    <row r="22" spans="1:66" ht="30" customHeight="1" thickBot="1" x14ac:dyDescent="0.3">
      <c r="B22" s="29" t="s">
        <v>78</v>
      </c>
      <c r="C22" s="50" t="s">
        <v>28</v>
      </c>
      <c r="D22" s="51"/>
      <c r="E22" s="51"/>
      <c r="F22" s="6">
        <v>0</v>
      </c>
      <c r="G22" s="52">
        <f>G18+1</f>
        <v>45938</v>
      </c>
      <c r="H22" s="52">
        <f>G22+2</f>
        <v>45940</v>
      </c>
      <c r="I22" s="5"/>
      <c r="J22" s="5">
        <f t="shared" si="6"/>
        <v>3</v>
      </c>
      <c r="K22" s="13"/>
      <c r="L22" s="13"/>
      <c r="M22" s="13"/>
      <c r="N22" s="13"/>
      <c r="O22" s="13"/>
      <c r="P22" s="13"/>
      <c r="Q22" s="13"/>
      <c r="R22" s="13"/>
      <c r="S22" s="13"/>
      <c r="T22" s="13"/>
      <c r="U22" s="13"/>
      <c r="V22" s="13"/>
      <c r="W22" s="13"/>
      <c r="X22" s="13"/>
      <c r="Y22" s="13"/>
      <c r="Z22" s="13"/>
      <c r="AA22" s="14"/>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row>
    <row r="23" spans="1:66" ht="30" customHeight="1" thickBot="1" x14ac:dyDescent="0.3">
      <c r="B23" s="69" t="s">
        <v>80</v>
      </c>
      <c r="C23" s="50" t="s">
        <v>61</v>
      </c>
      <c r="D23" s="51" t="s">
        <v>63</v>
      </c>
      <c r="E23" s="51" t="s">
        <v>62</v>
      </c>
      <c r="F23" s="6"/>
      <c r="G23" s="52"/>
      <c r="H23" s="52"/>
      <c r="I23" s="5"/>
      <c r="J23" s="5" t="str">
        <f t="shared" si="6"/>
        <v/>
      </c>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row>
    <row r="24" spans="1:66" ht="30" customHeight="1" thickBot="1" x14ac:dyDescent="0.3">
      <c r="B24" s="80" t="s">
        <v>75</v>
      </c>
      <c r="C24" s="80"/>
      <c r="D24" s="81"/>
      <c r="E24" s="81"/>
      <c r="F24" s="82"/>
      <c r="G24" s="83"/>
      <c r="H24" s="84"/>
      <c r="I24" s="5"/>
      <c r="J24" s="5" t="str">
        <f t="shared" si="6"/>
        <v/>
      </c>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row>
    <row r="25" spans="1:66" ht="30" customHeight="1" thickBot="1" x14ac:dyDescent="0.3">
      <c r="B25" s="29" t="s">
        <v>78</v>
      </c>
      <c r="C25" s="53" t="s">
        <v>83</v>
      </c>
      <c r="D25" s="54" t="s">
        <v>54</v>
      </c>
      <c r="E25" s="54" t="s">
        <v>56</v>
      </c>
      <c r="F25" s="25">
        <v>1</v>
      </c>
      <c r="G25" s="55">
        <v>45858</v>
      </c>
      <c r="H25" s="55">
        <f>G25+4</f>
        <v>45862</v>
      </c>
      <c r="I25" s="5"/>
      <c r="J25" s="5">
        <f t="shared" si="6"/>
        <v>5</v>
      </c>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row>
    <row r="26" spans="1:66" ht="30" customHeight="1" thickBot="1" x14ac:dyDescent="0.3">
      <c r="B26" s="29" t="s">
        <v>78</v>
      </c>
      <c r="C26" s="53" t="s">
        <v>84</v>
      </c>
      <c r="D26" s="54" t="s">
        <v>54</v>
      </c>
      <c r="E26" s="54" t="s">
        <v>56</v>
      </c>
      <c r="F26" s="25">
        <v>1</v>
      </c>
      <c r="G26" s="55">
        <v>45858</v>
      </c>
      <c r="H26" s="55">
        <f>G26+4</f>
        <v>45862</v>
      </c>
      <c r="I26" s="5"/>
      <c r="J26" s="5">
        <f t="shared" si="6"/>
        <v>5</v>
      </c>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row>
    <row r="27" spans="1:66" ht="30" customHeight="1" thickBot="1" x14ac:dyDescent="0.3">
      <c r="B27" s="29" t="s">
        <v>78</v>
      </c>
      <c r="C27" s="53" t="s">
        <v>86</v>
      </c>
      <c r="D27" s="54" t="s">
        <v>57</v>
      </c>
      <c r="E27" s="54" t="s">
        <v>58</v>
      </c>
      <c r="F27" s="25">
        <v>1</v>
      </c>
      <c r="G27" s="55">
        <v>45829</v>
      </c>
      <c r="H27" s="55">
        <v>45829</v>
      </c>
      <c r="I27" s="5"/>
      <c r="J27" s="5">
        <f t="shared" si="6"/>
        <v>1</v>
      </c>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row>
    <row r="28" spans="1:66" ht="30" customHeight="1" thickBot="1" x14ac:dyDescent="0.3">
      <c r="B28" s="29" t="s">
        <v>78</v>
      </c>
      <c r="C28" s="53" t="s">
        <v>87</v>
      </c>
      <c r="D28" s="54" t="s">
        <v>54</v>
      </c>
      <c r="E28" s="54" t="s">
        <v>55</v>
      </c>
      <c r="F28" s="25">
        <v>1</v>
      </c>
      <c r="G28" s="55">
        <f>H27+1</f>
        <v>45830</v>
      </c>
      <c r="H28" s="55">
        <f>G28+4</f>
        <v>45834</v>
      </c>
      <c r="I28" s="5"/>
      <c r="J28" s="5">
        <f t="shared" si="6"/>
        <v>5</v>
      </c>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row>
    <row r="29" spans="1:66" ht="30" customHeight="1" thickBot="1" x14ac:dyDescent="0.3">
      <c r="B29" s="68" t="s">
        <v>81</v>
      </c>
      <c r="C29" s="53" t="s">
        <v>88</v>
      </c>
      <c r="D29" s="54" t="s">
        <v>35</v>
      </c>
      <c r="E29" s="54" t="s">
        <v>59</v>
      </c>
      <c r="F29" s="25">
        <v>1</v>
      </c>
      <c r="G29" s="55">
        <v>45858</v>
      </c>
      <c r="H29" s="55">
        <v>45858</v>
      </c>
      <c r="I29" s="5"/>
      <c r="J29" s="5"/>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row>
    <row r="30" spans="1:66" ht="30" customHeight="1" thickBot="1" x14ac:dyDescent="0.3">
      <c r="B30" s="35"/>
      <c r="C30" s="53" t="s">
        <v>85</v>
      </c>
      <c r="D30" s="54"/>
      <c r="E30" s="54" t="s">
        <v>69</v>
      </c>
      <c r="F30" s="25">
        <v>0</v>
      </c>
      <c r="G30" s="55">
        <v>0</v>
      </c>
      <c r="H30" s="55">
        <v>0</v>
      </c>
      <c r="I30" s="5"/>
      <c r="J30" s="5"/>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row>
    <row r="31" spans="1:66" ht="30" customHeight="1" thickBot="1" x14ac:dyDescent="0.3">
      <c r="B31" s="35"/>
      <c r="C31" s="53" t="s">
        <v>89</v>
      </c>
      <c r="D31" s="54"/>
      <c r="E31" s="54"/>
      <c r="F31" s="25"/>
      <c r="G31" s="55"/>
      <c r="H31" s="55"/>
      <c r="I31" s="5"/>
      <c r="J31" s="5"/>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row>
    <row r="32" spans="1:66" ht="30" customHeight="1" thickBot="1" x14ac:dyDescent="0.3">
      <c r="B32" s="69" t="s">
        <v>80</v>
      </c>
      <c r="C32" s="53" t="s">
        <v>90</v>
      </c>
      <c r="D32" s="54"/>
      <c r="E32" s="54" t="s">
        <v>68</v>
      </c>
      <c r="F32" s="25">
        <v>0</v>
      </c>
      <c r="G32" s="55">
        <v>0</v>
      </c>
      <c r="H32" s="55">
        <v>0</v>
      </c>
      <c r="I32" s="5"/>
      <c r="J32" s="5">
        <f t="shared" si="6"/>
        <v>1</v>
      </c>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row>
    <row r="33" spans="1:66" ht="30" customHeight="1" thickBot="1" x14ac:dyDescent="0.3">
      <c r="B33" s="85" t="s">
        <v>76</v>
      </c>
      <c r="C33" s="85"/>
      <c r="D33" s="86"/>
      <c r="E33" s="86"/>
      <c r="F33" s="87"/>
      <c r="G33" s="88"/>
      <c r="H33" s="89"/>
      <c r="I33" s="5"/>
      <c r="J33" s="5" t="str">
        <f t="shared" si="6"/>
        <v/>
      </c>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row>
    <row r="34" spans="1:66" ht="30" customHeight="1" thickBot="1" x14ac:dyDescent="0.3">
      <c r="B34" s="29" t="s">
        <v>78</v>
      </c>
      <c r="C34" s="95" t="s">
        <v>64</v>
      </c>
      <c r="D34" s="56" t="s">
        <v>31</v>
      </c>
      <c r="E34" s="56" t="s">
        <v>65</v>
      </c>
      <c r="F34" s="8">
        <v>1</v>
      </c>
      <c r="G34" s="57">
        <v>45829</v>
      </c>
      <c r="H34" s="57">
        <v>45829</v>
      </c>
      <c r="I34" s="5"/>
      <c r="J34" s="5"/>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row>
    <row r="35" spans="1:66" ht="30" customHeight="1" thickBot="1" x14ac:dyDescent="0.3">
      <c r="B35" s="29" t="s">
        <v>78</v>
      </c>
      <c r="C35" s="95" t="s">
        <v>30</v>
      </c>
      <c r="D35" s="56" t="s">
        <v>31</v>
      </c>
      <c r="E35" s="56" t="s">
        <v>60</v>
      </c>
      <c r="F35" s="8">
        <v>1</v>
      </c>
      <c r="G35" s="57">
        <f>G14+15</f>
        <v>45946</v>
      </c>
      <c r="H35" s="57">
        <f>G35+5</f>
        <v>45951</v>
      </c>
      <c r="I35" s="5"/>
      <c r="J35" s="5">
        <f t="shared" si="6"/>
        <v>6</v>
      </c>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row>
    <row r="36" spans="1:66" ht="30" customHeight="1" thickBot="1" x14ac:dyDescent="0.3">
      <c r="B36" s="29" t="s">
        <v>78</v>
      </c>
      <c r="C36" s="95" t="s">
        <v>39</v>
      </c>
      <c r="D36" s="56" t="s">
        <v>31</v>
      </c>
      <c r="E36" s="56" t="s">
        <v>34</v>
      </c>
      <c r="F36" s="8">
        <v>1</v>
      </c>
      <c r="G36" s="57">
        <v>45829</v>
      </c>
      <c r="H36" s="57">
        <v>45829</v>
      </c>
      <c r="I36" s="5"/>
      <c r="J36" s="5"/>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row>
    <row r="37" spans="1:66" ht="30" customHeight="1" thickBot="1" x14ac:dyDescent="0.3">
      <c r="B37" s="29" t="s">
        <v>78</v>
      </c>
      <c r="C37" s="95" t="s">
        <v>32</v>
      </c>
      <c r="D37" s="56"/>
      <c r="E37" s="56" t="s">
        <v>53</v>
      </c>
      <c r="F37" s="8">
        <v>1</v>
      </c>
      <c r="G37" s="57">
        <v>45837</v>
      </c>
      <c r="H37" s="57">
        <v>45851</v>
      </c>
      <c r="I37" s="5"/>
      <c r="J37" s="5">
        <f t="shared" si="6"/>
        <v>15</v>
      </c>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row>
    <row r="38" spans="1:66" ht="30" customHeight="1" thickBot="1" x14ac:dyDescent="0.3">
      <c r="B38" s="69" t="s">
        <v>80</v>
      </c>
      <c r="C38" s="58" t="s">
        <v>66</v>
      </c>
      <c r="D38" s="56" t="s">
        <v>67</v>
      </c>
      <c r="E38" s="56" t="s">
        <v>91</v>
      </c>
      <c r="F38" s="8"/>
      <c r="G38" s="57"/>
      <c r="H38" s="57"/>
      <c r="I38" s="5"/>
      <c r="J38" s="5" t="str">
        <f t="shared" si="6"/>
        <v/>
      </c>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row>
    <row r="39" spans="1:66" ht="30" customHeight="1" thickBot="1" x14ac:dyDescent="0.3">
      <c r="B39" s="90" t="s">
        <v>77</v>
      </c>
      <c r="C39" s="90"/>
      <c r="D39" s="91"/>
      <c r="E39" s="91"/>
      <c r="F39" s="92"/>
      <c r="G39" s="93"/>
      <c r="H39" s="94"/>
      <c r="I39" s="5"/>
      <c r="J39" s="5" t="str">
        <f t="shared" si="6"/>
        <v/>
      </c>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row>
    <row r="40" spans="1:66" ht="30" customHeight="1" thickBot="1" x14ac:dyDescent="0.3">
      <c r="B40" s="29" t="s">
        <v>78</v>
      </c>
      <c r="C40" s="59" t="s">
        <v>82</v>
      </c>
      <c r="D40" s="60" t="s">
        <v>41</v>
      </c>
      <c r="E40" s="60"/>
      <c r="F40" s="9">
        <v>1</v>
      </c>
      <c r="G40" s="61">
        <v>45837</v>
      </c>
      <c r="H40" s="61">
        <v>45837</v>
      </c>
      <c r="I40" s="5"/>
      <c r="J40" s="5"/>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row>
    <row r="41" spans="1:66" ht="30" customHeight="1" thickBot="1" x14ac:dyDescent="0.3">
      <c r="B41" s="29" t="s">
        <v>78</v>
      </c>
      <c r="C41" s="59" t="s">
        <v>36</v>
      </c>
      <c r="D41" s="60" t="s">
        <v>41</v>
      </c>
      <c r="E41" s="60" t="s">
        <v>43</v>
      </c>
      <c r="F41" s="9">
        <v>1</v>
      </c>
      <c r="G41" s="61">
        <v>45837</v>
      </c>
      <c r="H41" s="61">
        <v>45837</v>
      </c>
      <c r="I41" s="5"/>
      <c r="J41" s="5">
        <f t="shared" si="6"/>
        <v>1</v>
      </c>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row>
    <row r="42" spans="1:66" ht="30" customHeight="1" thickBot="1" x14ac:dyDescent="0.3">
      <c r="B42" s="29" t="s">
        <v>78</v>
      </c>
      <c r="C42" s="59" t="s">
        <v>37</v>
      </c>
      <c r="D42" s="60" t="s">
        <v>41</v>
      </c>
      <c r="E42" s="60"/>
      <c r="F42" s="9">
        <v>1</v>
      </c>
      <c r="G42" s="61">
        <v>45837</v>
      </c>
      <c r="H42" s="61">
        <v>45837</v>
      </c>
      <c r="I42" s="5"/>
      <c r="J42" s="5">
        <f t="shared" si="6"/>
        <v>1</v>
      </c>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row>
    <row r="43" spans="1:66" ht="30" customHeight="1" thickBot="1" x14ac:dyDescent="0.3">
      <c r="B43" s="29" t="s">
        <v>78</v>
      </c>
      <c r="C43" s="59" t="s">
        <v>38</v>
      </c>
      <c r="D43" s="60" t="s">
        <v>41</v>
      </c>
      <c r="E43" s="60"/>
      <c r="F43" s="9">
        <v>1</v>
      </c>
      <c r="G43" s="61">
        <v>45837</v>
      </c>
      <c r="H43" s="61">
        <v>45837</v>
      </c>
      <c r="I43" s="5"/>
      <c r="J43" s="5">
        <f t="shared" si="6"/>
        <v>1</v>
      </c>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row>
    <row r="44" spans="1:66" ht="30" customHeight="1" thickBot="1" x14ac:dyDescent="0.3">
      <c r="B44" s="36"/>
      <c r="C44" s="59" t="s">
        <v>42</v>
      </c>
      <c r="D44" s="60" t="s">
        <v>41</v>
      </c>
      <c r="E44" s="60"/>
      <c r="F44" s="9">
        <v>1</v>
      </c>
      <c r="G44" s="61">
        <v>45837</v>
      </c>
      <c r="H44" s="61">
        <v>45837</v>
      </c>
      <c r="I44" s="5"/>
      <c r="J44" s="5">
        <f t="shared" si="6"/>
        <v>1</v>
      </c>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row>
    <row r="45" spans="1:66" ht="30" customHeight="1" thickBot="1" x14ac:dyDescent="0.3">
      <c r="B45" s="36"/>
      <c r="C45" s="59" t="s">
        <v>40</v>
      </c>
      <c r="D45" s="60"/>
      <c r="E45" s="60" t="s">
        <v>44</v>
      </c>
      <c r="F45" s="9">
        <v>0</v>
      </c>
      <c r="G45" s="61"/>
      <c r="H45" s="61"/>
      <c r="I45" s="5"/>
      <c r="J45" s="5" t="str">
        <f t="shared" si="6"/>
        <v/>
      </c>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row>
    <row r="46" spans="1:66" ht="30" customHeight="1" thickBot="1" x14ac:dyDescent="0.3">
      <c r="A46" s="38" t="s">
        <v>11</v>
      </c>
      <c r="B46" s="37"/>
      <c r="C46" s="62"/>
      <c r="D46" s="63"/>
      <c r="E46" s="63"/>
      <c r="F46" s="4"/>
      <c r="G46" s="64"/>
      <c r="H46" s="64"/>
      <c r="I46" s="12"/>
      <c r="J46" s="12" t="str">
        <f t="shared" si="6"/>
        <v/>
      </c>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row>
    <row r="47" spans="1:66" ht="30" customHeight="1" thickBot="1" x14ac:dyDescent="0.3">
      <c r="B47" s="10"/>
      <c r="C47" s="65" t="s">
        <v>13</v>
      </c>
      <c r="D47" s="10"/>
      <c r="E47" s="10"/>
      <c r="F47" s="11"/>
      <c r="G47" s="17"/>
      <c r="H47" s="18"/>
      <c r="I47" s="2"/>
    </row>
    <row r="49" spans="4:8" ht="30" customHeight="1" x14ac:dyDescent="0.25">
      <c r="D49" s="66"/>
      <c r="E49" s="66"/>
      <c r="H49" s="67"/>
    </row>
    <row r="50" spans="4:8" ht="30" customHeight="1" x14ac:dyDescent="0.25">
      <c r="D50" s="44"/>
      <c r="E50" s="44"/>
    </row>
  </sheetData>
  <mergeCells count="14">
    <mergeCell ref="D2:F2"/>
    <mergeCell ref="G2:H2"/>
    <mergeCell ref="BA4:BG4"/>
    <mergeCell ref="BH4:BN4"/>
    <mergeCell ref="G3:H3"/>
    <mergeCell ref="K4:Q4"/>
    <mergeCell ref="R4:X4"/>
    <mergeCell ref="Y4:AE4"/>
    <mergeCell ref="AF4:AL4"/>
    <mergeCell ref="D3:F3"/>
    <mergeCell ref="D4:F4"/>
    <mergeCell ref="C5:I5"/>
    <mergeCell ref="AM4:AS4"/>
    <mergeCell ref="AT4:AZ4"/>
  </mergeCells>
  <conditionalFormatting sqref="F7:F47">
    <cfRule type="dataBar" priority="16">
      <dataBar>
        <cfvo type="num" val="0"/>
        <cfvo type="num" val="1"/>
        <color rgb="FF00B050"/>
      </dataBar>
      <extLst>
        <ext xmlns:x14="http://schemas.microsoft.com/office/spreadsheetml/2009/9/main" uri="{B025F937-C7B1-47D3-B67F-A62EFF666E3E}">
          <x14:id>{B0389232-4C98-4A03-AD0E-39F63BAD1F53}</x14:id>
        </ext>
      </extLst>
    </cfRule>
  </conditionalFormatting>
  <conditionalFormatting sqref="K5:BN46">
    <cfRule type="expression" dxfId="2" priority="35">
      <formula>AND(TODAY()&gt;=K$5,TODAY()&lt;L$5)</formula>
    </cfRule>
  </conditionalFormatting>
  <conditionalFormatting sqref="K7:BN46">
    <cfRule type="expression" dxfId="1" priority="29">
      <formula>AND(Fecha_incio&lt;=K$5,ROUNDDOWN((Fecha_final-Fecha_incio+1)*Progresos,0)+Fecha_incio-1&gt;=K$5)</formula>
    </cfRule>
    <cfRule type="expression" dxfId="0" priority="30" stopIfTrue="1">
      <formula>AND(Fecha_final&gt;=K$5,Fecha_incio&lt;L$5)</formula>
    </cfRule>
  </conditionalFormatting>
  <dataValidations count="1">
    <dataValidation type="whole" operator="greaterThanOrEqual" allowBlank="1" showInputMessage="1" promptTitle="Mostrar semana" prompt="Al cambiar este número, se desplazará la vista del diagrama de Gantt." sqref="G4" xr:uid="{00000000-0002-0000-0000-000000000000}">
      <formula1>1</formula1>
    </dataValidation>
  </dataValidations>
  <printOptions horizontalCentered="1"/>
  <pageMargins left="0.35" right="0.35" top="0.35" bottom="0.5" header="0.3" footer="0.3"/>
  <pageSetup paperSize="9"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F7:F47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08EB8-DABD-4C00-A7D4-1124308B6A39}">
  <dimension ref="A1:E45"/>
  <sheetViews>
    <sheetView tabSelected="1" topLeftCell="A27" zoomScale="130" zoomScaleNormal="130" workbookViewId="0">
      <selection activeCell="E45" sqref="A38:E45"/>
    </sheetView>
  </sheetViews>
  <sheetFormatPr baseColWidth="10" defaultRowHeight="15" x14ac:dyDescent="0.25"/>
  <cols>
    <col min="1" max="1" width="9.140625" style="43" bestFit="1" customWidth="1"/>
    <col min="2" max="2" width="29.5703125" style="43" bestFit="1" customWidth="1"/>
    <col min="3" max="3" width="8.85546875" style="43" bestFit="1" customWidth="1"/>
    <col min="4" max="5" width="11.28515625" style="43" bestFit="1" customWidth="1"/>
    <col min="6" max="16384" width="11.42578125" style="43"/>
  </cols>
  <sheetData>
    <row r="1" spans="1:5" x14ac:dyDescent="0.25">
      <c r="A1" s="107" t="s">
        <v>24</v>
      </c>
      <c r="B1" s="107"/>
      <c r="C1" s="107"/>
      <c r="D1" s="107"/>
      <c r="E1" s="107"/>
    </row>
    <row r="2" spans="1:5" x14ac:dyDescent="0.25">
      <c r="A2" s="103" t="s">
        <v>92</v>
      </c>
      <c r="B2" s="103" t="s">
        <v>93</v>
      </c>
      <c r="C2" s="103" t="s">
        <v>94</v>
      </c>
      <c r="D2" s="103" t="s">
        <v>95</v>
      </c>
      <c r="E2" s="103" t="s">
        <v>96</v>
      </c>
    </row>
    <row r="3" spans="1:5" x14ac:dyDescent="0.25">
      <c r="A3" s="104" t="s">
        <v>78</v>
      </c>
      <c r="B3" s="104" t="s">
        <v>97</v>
      </c>
      <c r="C3" s="105">
        <v>0.3</v>
      </c>
      <c r="D3" s="106">
        <v>45830</v>
      </c>
      <c r="E3" s="106">
        <v>45931</v>
      </c>
    </row>
    <row r="4" spans="1:5" ht="30" x14ac:dyDescent="0.25">
      <c r="A4" s="104" t="s">
        <v>81</v>
      </c>
      <c r="B4" s="104" t="s">
        <v>98</v>
      </c>
      <c r="C4" s="105">
        <v>0.8</v>
      </c>
      <c r="D4" s="106">
        <v>45837</v>
      </c>
      <c r="E4" s="106">
        <v>45931</v>
      </c>
    </row>
    <row r="5" spans="1:5" ht="30" x14ac:dyDescent="0.25">
      <c r="A5" s="104" t="s">
        <v>81</v>
      </c>
      <c r="B5" s="104" t="s">
        <v>99</v>
      </c>
      <c r="C5" s="105">
        <v>0.8</v>
      </c>
      <c r="D5" s="106">
        <v>45837</v>
      </c>
      <c r="E5" s="106">
        <v>45931</v>
      </c>
    </row>
    <row r="7" spans="1:5" x14ac:dyDescent="0.25">
      <c r="A7" s="107" t="s">
        <v>23</v>
      </c>
      <c r="B7" s="107"/>
      <c r="C7" s="107"/>
      <c r="D7" s="107"/>
      <c r="E7" s="107"/>
    </row>
    <row r="8" spans="1:5" x14ac:dyDescent="0.25">
      <c r="A8" s="103" t="s">
        <v>92</v>
      </c>
      <c r="B8" s="103" t="s">
        <v>93</v>
      </c>
      <c r="C8" s="103" t="s">
        <v>94</v>
      </c>
      <c r="D8" s="103" t="s">
        <v>95</v>
      </c>
      <c r="E8" s="103" t="s">
        <v>96</v>
      </c>
    </row>
    <row r="9" spans="1:5" ht="30" x14ac:dyDescent="0.25">
      <c r="A9" s="104" t="s">
        <v>78</v>
      </c>
      <c r="B9" s="104" t="s">
        <v>101</v>
      </c>
      <c r="C9" s="105">
        <v>0.8</v>
      </c>
      <c r="D9" s="106">
        <v>45822</v>
      </c>
      <c r="E9" s="106">
        <v>45931</v>
      </c>
    </row>
    <row r="10" spans="1:5" ht="30" x14ac:dyDescent="0.25">
      <c r="A10" s="104" t="s">
        <v>80</v>
      </c>
      <c r="B10" s="104" t="s">
        <v>102</v>
      </c>
      <c r="C10" s="105">
        <v>0.8</v>
      </c>
      <c r="D10" s="106">
        <v>45837</v>
      </c>
      <c r="E10" s="106">
        <v>45837</v>
      </c>
    </row>
    <row r="11" spans="1:5" ht="30" x14ac:dyDescent="0.25">
      <c r="A11" s="104" t="s">
        <v>81</v>
      </c>
      <c r="B11" s="104" t="s">
        <v>103</v>
      </c>
      <c r="C11" s="105">
        <v>0.1</v>
      </c>
      <c r="D11" s="106">
        <v>45851</v>
      </c>
      <c r="E11" s="106">
        <v>45931</v>
      </c>
    </row>
    <row r="12" spans="1:5" x14ac:dyDescent="0.25">
      <c r="A12" s="104" t="s">
        <v>81</v>
      </c>
      <c r="B12" s="104" t="s">
        <v>104</v>
      </c>
      <c r="C12" s="105">
        <v>0.2</v>
      </c>
      <c r="D12" s="106">
        <v>45837</v>
      </c>
      <c r="E12" s="106">
        <v>45931</v>
      </c>
    </row>
    <row r="13" spans="1:5" x14ac:dyDescent="0.25">
      <c r="A13" s="104" t="s">
        <v>81</v>
      </c>
      <c r="B13" s="104" t="s">
        <v>106</v>
      </c>
      <c r="C13" s="105">
        <v>1</v>
      </c>
      <c r="D13" s="106">
        <v>45828</v>
      </c>
      <c r="E13" s="106">
        <v>45830</v>
      </c>
    </row>
    <row r="14" spans="1:5" x14ac:dyDescent="0.25">
      <c r="A14" s="104" t="s">
        <v>81</v>
      </c>
      <c r="B14" s="104" t="s">
        <v>107</v>
      </c>
      <c r="C14" s="105">
        <v>0</v>
      </c>
      <c r="D14" s="106">
        <v>45830</v>
      </c>
      <c r="E14" s="106">
        <v>45931</v>
      </c>
    </row>
    <row r="15" spans="1:5" ht="30" x14ac:dyDescent="0.25">
      <c r="A15" s="104" t="s">
        <v>81</v>
      </c>
      <c r="B15" s="104" t="s">
        <v>108</v>
      </c>
      <c r="C15" s="105">
        <v>1</v>
      </c>
      <c r="D15" s="106">
        <v>45834</v>
      </c>
      <c r="E15" s="106">
        <v>45838</v>
      </c>
    </row>
    <row r="16" spans="1:5" x14ac:dyDescent="0.25">
      <c r="A16" s="104" t="s">
        <v>80</v>
      </c>
      <c r="B16" s="104" t="s">
        <v>109</v>
      </c>
      <c r="C16" s="105">
        <v>0.5</v>
      </c>
      <c r="D16" s="106">
        <v>45834</v>
      </c>
      <c r="E16" s="106">
        <v>45839</v>
      </c>
    </row>
    <row r="17" spans="1:5" x14ac:dyDescent="0.25">
      <c r="A17" s="104" t="s">
        <v>78</v>
      </c>
      <c r="B17" s="104" t="s">
        <v>110</v>
      </c>
      <c r="C17" s="105">
        <v>0.5</v>
      </c>
      <c r="D17" s="106">
        <v>45829</v>
      </c>
      <c r="E17" s="106">
        <v>45931</v>
      </c>
    </row>
    <row r="18" spans="1:5" ht="30" x14ac:dyDescent="0.25">
      <c r="A18" s="104" t="s">
        <v>80</v>
      </c>
      <c r="B18" s="104" t="s">
        <v>111</v>
      </c>
      <c r="C18" s="105">
        <v>0.75</v>
      </c>
      <c r="D18" s="106">
        <v>45829</v>
      </c>
      <c r="E18" s="106">
        <v>45931</v>
      </c>
    </row>
    <row r="20" spans="1:5" x14ac:dyDescent="0.25">
      <c r="A20" s="108" t="s">
        <v>119</v>
      </c>
      <c r="B20" s="108"/>
      <c r="C20" s="108"/>
      <c r="D20" s="108"/>
      <c r="E20" s="108"/>
    </row>
    <row r="21" spans="1:5" x14ac:dyDescent="0.25">
      <c r="A21" s="103" t="s">
        <v>92</v>
      </c>
      <c r="B21" s="103" t="s">
        <v>93</v>
      </c>
      <c r="C21" s="103" t="s">
        <v>94</v>
      </c>
      <c r="D21" s="103" t="s">
        <v>95</v>
      </c>
      <c r="E21" s="103" t="s">
        <v>96</v>
      </c>
    </row>
    <row r="22" spans="1:5" x14ac:dyDescent="0.25">
      <c r="A22" s="104" t="s">
        <v>78</v>
      </c>
      <c r="B22" s="104" t="s">
        <v>112</v>
      </c>
      <c r="C22" s="105">
        <v>1</v>
      </c>
      <c r="D22" s="106">
        <v>45858</v>
      </c>
      <c r="E22" s="106">
        <v>45862</v>
      </c>
    </row>
    <row r="23" spans="1:5" x14ac:dyDescent="0.25">
      <c r="A23" s="104" t="s">
        <v>78</v>
      </c>
      <c r="B23" s="104" t="s">
        <v>113</v>
      </c>
      <c r="C23" s="105">
        <v>1</v>
      </c>
      <c r="D23" s="106">
        <v>45858</v>
      </c>
      <c r="E23" s="106">
        <v>45862</v>
      </c>
    </row>
    <row r="24" spans="1:5" x14ac:dyDescent="0.25">
      <c r="A24" s="104" t="s">
        <v>78</v>
      </c>
      <c r="B24" s="104" t="s">
        <v>114</v>
      </c>
      <c r="C24" s="105">
        <v>1</v>
      </c>
      <c r="D24" s="106">
        <v>45829</v>
      </c>
      <c r="E24" s="106">
        <v>45829</v>
      </c>
    </row>
    <row r="25" spans="1:5" x14ac:dyDescent="0.25">
      <c r="A25" s="104" t="s">
        <v>78</v>
      </c>
      <c r="B25" s="104" t="s">
        <v>115</v>
      </c>
      <c r="C25" s="105">
        <v>1</v>
      </c>
      <c r="D25" s="106">
        <v>45830</v>
      </c>
      <c r="E25" s="106">
        <v>45834</v>
      </c>
    </row>
    <row r="26" spans="1:5" x14ac:dyDescent="0.25">
      <c r="A26" s="104" t="s">
        <v>81</v>
      </c>
      <c r="B26" s="104" t="s">
        <v>116</v>
      </c>
      <c r="C26" s="105">
        <v>1</v>
      </c>
      <c r="D26" s="106">
        <v>45858</v>
      </c>
      <c r="E26" s="106">
        <v>45858</v>
      </c>
    </row>
    <row r="27" spans="1:5" ht="30" x14ac:dyDescent="0.25">
      <c r="A27" s="104" t="s">
        <v>81</v>
      </c>
      <c r="B27" s="104" t="s">
        <v>117</v>
      </c>
      <c r="C27" s="105">
        <v>0</v>
      </c>
      <c r="D27" s="106" t="s">
        <v>105</v>
      </c>
      <c r="E27" s="106">
        <v>45931</v>
      </c>
    </row>
    <row r="28" spans="1:5" ht="30" x14ac:dyDescent="0.25">
      <c r="A28" s="104" t="s">
        <v>80</v>
      </c>
      <c r="B28" s="104" t="s">
        <v>118</v>
      </c>
      <c r="C28" s="105">
        <v>0</v>
      </c>
      <c r="D28" s="106" t="s">
        <v>105</v>
      </c>
      <c r="E28" s="106">
        <v>45931</v>
      </c>
    </row>
    <row r="30" spans="1:5" x14ac:dyDescent="0.25">
      <c r="A30" s="107" t="s">
        <v>120</v>
      </c>
      <c r="B30" s="107"/>
      <c r="C30" s="107"/>
      <c r="D30" s="107"/>
      <c r="E30" s="107"/>
    </row>
    <row r="31" spans="1:5" x14ac:dyDescent="0.25">
      <c r="A31" s="103" t="s">
        <v>92</v>
      </c>
      <c r="B31" s="103" t="s">
        <v>93</v>
      </c>
      <c r="C31" s="103" t="s">
        <v>94</v>
      </c>
      <c r="D31" s="103" t="s">
        <v>95</v>
      </c>
      <c r="E31" s="103" t="s">
        <v>96</v>
      </c>
    </row>
    <row r="32" spans="1:5" x14ac:dyDescent="0.25">
      <c r="A32" s="104" t="s">
        <v>78</v>
      </c>
      <c r="B32" s="104" t="s">
        <v>121</v>
      </c>
      <c r="C32" s="105">
        <v>1</v>
      </c>
      <c r="D32" s="106">
        <v>45829</v>
      </c>
      <c r="E32" s="106">
        <v>45829</v>
      </c>
    </row>
    <row r="33" spans="1:5" ht="30" x14ac:dyDescent="0.25">
      <c r="A33" s="104" t="s">
        <v>78</v>
      </c>
      <c r="B33" s="104" t="s">
        <v>122</v>
      </c>
      <c r="C33" s="105">
        <v>1</v>
      </c>
      <c r="D33" s="106">
        <v>45837</v>
      </c>
      <c r="E33" s="106">
        <v>45842</v>
      </c>
    </row>
    <row r="34" spans="1:5" x14ac:dyDescent="0.25">
      <c r="A34" s="104" t="s">
        <v>78</v>
      </c>
      <c r="B34" s="104" t="s">
        <v>123</v>
      </c>
      <c r="C34" s="105">
        <v>1</v>
      </c>
      <c r="D34" s="106">
        <v>45829</v>
      </c>
      <c r="E34" s="106">
        <v>45829</v>
      </c>
    </row>
    <row r="35" spans="1:5" x14ac:dyDescent="0.25">
      <c r="A35" s="104" t="s">
        <v>78</v>
      </c>
      <c r="B35" s="104" t="s">
        <v>124</v>
      </c>
      <c r="C35" s="105">
        <v>1</v>
      </c>
      <c r="D35" s="106">
        <v>45837</v>
      </c>
      <c r="E35" s="106">
        <v>45851</v>
      </c>
    </row>
    <row r="36" spans="1:5" ht="30" x14ac:dyDescent="0.25">
      <c r="A36" s="104" t="s">
        <v>80</v>
      </c>
      <c r="B36" s="104" t="s">
        <v>132</v>
      </c>
      <c r="C36" s="105">
        <v>1</v>
      </c>
      <c r="D36" s="106">
        <v>45837</v>
      </c>
      <c r="E36" s="106">
        <v>45851</v>
      </c>
    </row>
    <row r="38" spans="1:5" x14ac:dyDescent="0.25">
      <c r="A38" s="107" t="s">
        <v>125</v>
      </c>
      <c r="B38" s="107"/>
      <c r="C38" s="107"/>
      <c r="D38" s="107"/>
      <c r="E38" s="107"/>
    </row>
    <row r="39" spans="1:5" x14ac:dyDescent="0.25">
      <c r="A39" s="103" t="s">
        <v>92</v>
      </c>
      <c r="B39" s="103" t="s">
        <v>93</v>
      </c>
      <c r="C39" s="103" t="s">
        <v>94</v>
      </c>
      <c r="D39" s="103" t="s">
        <v>95</v>
      </c>
      <c r="E39" s="103" t="s">
        <v>96</v>
      </c>
    </row>
    <row r="40" spans="1:5" x14ac:dyDescent="0.25">
      <c r="A40" s="104" t="s">
        <v>78</v>
      </c>
      <c r="B40" s="104" t="s">
        <v>126</v>
      </c>
      <c r="C40" s="105">
        <v>1</v>
      </c>
      <c r="D40" s="106">
        <v>45837</v>
      </c>
      <c r="E40" s="106">
        <v>45837</v>
      </c>
    </row>
    <row r="41" spans="1:5" x14ac:dyDescent="0.25">
      <c r="A41" s="104" t="s">
        <v>78</v>
      </c>
      <c r="B41" s="104" t="s">
        <v>127</v>
      </c>
      <c r="C41" s="105">
        <v>1</v>
      </c>
      <c r="D41" s="106">
        <v>45837</v>
      </c>
      <c r="E41" s="106">
        <v>45837</v>
      </c>
    </row>
    <row r="42" spans="1:5" x14ac:dyDescent="0.25">
      <c r="A42" s="104" t="s">
        <v>78</v>
      </c>
      <c r="B42" s="104" t="s">
        <v>128</v>
      </c>
      <c r="C42" s="105">
        <v>1</v>
      </c>
      <c r="D42" s="106">
        <v>45837</v>
      </c>
      <c r="E42" s="106">
        <v>45837</v>
      </c>
    </row>
    <row r="43" spans="1:5" x14ac:dyDescent="0.25">
      <c r="A43" s="104" t="s">
        <v>78</v>
      </c>
      <c r="B43" s="104" t="s">
        <v>129</v>
      </c>
      <c r="C43" s="105">
        <v>1</v>
      </c>
      <c r="D43" s="106">
        <v>45837</v>
      </c>
      <c r="E43" s="106">
        <v>45837</v>
      </c>
    </row>
    <row r="44" spans="1:5" ht="30" x14ac:dyDescent="0.25">
      <c r="A44" s="104" t="s">
        <v>78</v>
      </c>
      <c r="B44" s="104" t="s">
        <v>130</v>
      </c>
      <c r="C44" s="105">
        <v>1</v>
      </c>
      <c r="D44" s="106">
        <v>45837</v>
      </c>
      <c r="E44" s="106">
        <v>45837</v>
      </c>
    </row>
    <row r="45" spans="1:5" x14ac:dyDescent="0.25">
      <c r="A45" s="104" t="s">
        <v>80</v>
      </c>
      <c r="B45" s="104" t="s">
        <v>131</v>
      </c>
      <c r="C45" s="105">
        <v>0</v>
      </c>
      <c r="D45" s="106">
        <v>45837</v>
      </c>
      <c r="E45" s="106">
        <v>45931</v>
      </c>
    </row>
  </sheetData>
  <mergeCells count="5">
    <mergeCell ref="A7:E7"/>
    <mergeCell ref="A1:E1"/>
    <mergeCell ref="A20:E20"/>
    <mergeCell ref="A30:E30"/>
    <mergeCell ref="A38:E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calendarioproyecto</vt:lpstr>
      <vt:lpstr>Hoja1</vt:lpstr>
      <vt:lpstr>calendarioproyecto!Fecha_final</vt:lpstr>
      <vt:lpstr>calendarioproyecto!Fecha_incio</vt:lpstr>
      <vt:lpstr>InicioDelProyecto</vt:lpstr>
      <vt:lpstr>calendarioproyecto!Progresos</vt:lpstr>
      <vt:lpstr>SemanaParaMostrar</vt:lpstr>
      <vt:lpstr>calendarioproyecto!Títulos_a_imprimir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2025-09-14T00:47:57Z</dcterms:modified>
</cp:coreProperties>
</file>