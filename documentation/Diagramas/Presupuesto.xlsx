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s\DocuEstudia\documentation\"/>
    </mc:Choice>
  </mc:AlternateContent>
  <xr:revisionPtr revIDLastSave="0" documentId="13_ncr:1_{7A8FD334-6C3B-4B47-8327-7E0D72DBBEC5}" xr6:coauthVersionLast="47" xr6:coauthVersionMax="47" xr10:uidLastSave="{00000000-0000-0000-0000-000000000000}"/>
  <bookViews>
    <workbookView xWindow="-120" yWindow="-120" windowWidth="29040" windowHeight="16440" activeTab="2" xr2:uid="{1E2FC0B0-97C9-440E-BDA4-19B8F1583757}"/>
  </bookViews>
  <sheets>
    <sheet name="Presupuesto" sheetId="1" r:id="rId1"/>
    <sheet name="Roles Sponsor" sheetId="2" r:id="rId2"/>
    <sheet name="Metodologia Trabaj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" l="1"/>
  <c r="E19" i="1" s="1"/>
</calcChain>
</file>

<file path=xl/sharedStrings.xml><?xml version="1.0" encoding="utf-8"?>
<sst xmlns="http://schemas.openxmlformats.org/spreadsheetml/2006/main" count="100" uniqueCount="92">
  <si>
    <t>Categoría</t>
  </si>
  <si>
    <t>Descripción</t>
  </si>
  <si>
    <t>Cantidad/Unidad</t>
  </si>
  <si>
    <t>Recursos Humanos</t>
  </si>
  <si>
    <t>Desarrollador Backend</t>
  </si>
  <si>
    <t>PHP + MySQL + MVC</t>
  </si>
  <si>
    <t>1 persona</t>
  </si>
  <si>
    <t>Diseñador Frontend</t>
  </si>
  <si>
    <t>CSS + JS + UX</t>
  </si>
  <si>
    <t>QA/Tester</t>
  </si>
  <si>
    <t>Pruebas funcionales y usabilidad</t>
  </si>
  <si>
    <t>Documentador Técnico</t>
  </si>
  <si>
    <t>Manuales, fichas técnicas, actas</t>
  </si>
  <si>
    <t>Infraestructura</t>
  </si>
  <si>
    <t>Servidor Web</t>
  </si>
  <si>
    <t>Hosting VPS (Linux, Apache, MySQL, PHP)</t>
  </si>
  <si>
    <t>1 año</t>
  </si>
  <si>
    <t>Dominio Web</t>
  </si>
  <si>
    <t>1 dominio</t>
  </si>
  <si>
    <t>Certificado SSL</t>
  </si>
  <si>
    <t>Seguridad HTTPS</t>
  </si>
  <si>
    <t>1 certificado</t>
  </si>
  <si>
    <t>Software y Herramientas</t>
  </si>
  <si>
    <t>XAMPP</t>
  </si>
  <si>
    <t>Entorno local (gratuito)</t>
  </si>
  <si>
    <t>—</t>
  </si>
  <si>
    <t>Licencias adicionales</t>
  </si>
  <si>
    <t>Materiales y Equipos</t>
  </si>
  <si>
    <t>Computadores de desarrollo</t>
  </si>
  <si>
    <t>Core i5, 8GB RAM mínimo</t>
  </si>
  <si>
    <t>2 equipos</t>
  </si>
  <si>
    <t>Copias de seguridad</t>
  </si>
  <si>
    <t>1 unidad</t>
  </si>
  <si>
    <t>Otros</t>
  </si>
  <si>
    <t>Reuniones y logística</t>
  </si>
  <si>
    <t>Espacios físicos, refrigerios, papelería</t>
  </si>
  <si>
    <t>4 sesiones</t>
  </si>
  <si>
    <t>Contingencia</t>
  </si>
  <si>
    <t>10% del total estimado</t>
  </si>
  <si>
    <t>Total Aproximado</t>
  </si>
  <si>
    <t>Costo Unitario (COP)</t>
  </si>
  <si>
    <t>Subtotal (COP)</t>
  </si>
  <si>
    <t>$4,000,000 / mes</t>
  </si>
  <si>
    <t>$3,200,000 / mes</t>
  </si>
  <si>
    <t>$2,400,000 / mes</t>
  </si>
  <si>
    <t>Software privado (no aplica en stack actual)</t>
  </si>
  <si>
    <t>$2,400,000</t>
  </si>
  <si>
    <t>Disco externo o nube</t>
  </si>
  <si>
    <t>docuestudia.edu.co</t>
  </si>
  <si>
    <t>2 persona</t>
  </si>
  <si>
    <t>1-2 persona</t>
  </si>
  <si>
    <t>$250,000 / sesión</t>
  </si>
  <si>
    <t>Rol</t>
  </si>
  <si>
    <t>Nombre o Tipo de Participante</t>
  </si>
  <si>
    <t>Responsabilidad Principal</t>
  </si>
  <si>
    <t>Sponsor</t>
  </si>
  <si>
    <t>Rector o Coordinador Académico del colegio</t>
  </si>
  <si>
    <t>Autoriza el proyecto, asigna recursos, valida entregables clave y representa el interés institucional.</t>
  </si>
  <si>
    <t>Interesados Clave</t>
  </si>
  <si>
    <t>Docentes</t>
  </si>
  <si>
    <t>Usuarios directos del sistema para registrar observaciones y consultar historial académico.</t>
  </si>
  <si>
    <t>Coordinadores de grupo</t>
  </si>
  <si>
    <t>Supervisan la asignación de estudiantes y validan la trazabilidad de datos.</t>
  </si>
  <si>
    <t>Padres de familia</t>
  </si>
  <si>
    <t>Beneficiarios indirectos que acceden a reportes y seguimiento académico.</t>
  </si>
  <si>
    <t>Área de sistemas del colegio</t>
  </si>
  <si>
    <t>Encargados de la implementación técnica y soporte post-desarrollo.</t>
  </si>
  <si>
    <t>Dirección administrativa</t>
  </si>
  <si>
    <t>Interesados en la eficiencia operativa y reducción de carga manual.</t>
  </si>
  <si>
    <t>Project Manager</t>
  </si>
  <si>
    <t>Lidera el desarrollo, planificación, documentación y entrega del sistema.</t>
  </si>
  <si>
    <t>Implementa la lógica en PHP, estructura MVC y conexión con MySQL.</t>
  </si>
  <si>
    <t>Define la interfaz con CSS y JS, asegurando accesibilidad y usabilidad.</t>
  </si>
  <si>
    <t>Tester/QA</t>
  </si>
  <si>
    <t>Realiza pruebas funcionales, de validación y usabilidad.</t>
  </si>
  <si>
    <t>Redacta actas, manuales, fichas técnicas y documentación del sistema.</t>
  </si>
  <si>
    <t>Estudiante desarrollador</t>
  </si>
  <si>
    <t>colaborador técnico</t>
  </si>
  <si>
    <t>Apoyo externo</t>
  </si>
  <si>
    <t>docente guía</t>
  </si>
  <si>
    <t>Jose Miguel Alvarez</t>
  </si>
  <si>
    <t>Equipo de trabajo Preliminar</t>
  </si>
  <si>
    <t>Elemento del Proyecto</t>
  </si>
  <si>
    <t>Justificación del Enfoque Híbrido</t>
  </si>
  <si>
    <t>Trabajo de grado académico</t>
  </si>
  <si>
    <t>Requiere entregables formales, planificación anticipada y cumplimiento de hitos definidos.</t>
  </si>
  <si>
    <t>Desarrollo de software funcional</t>
  </si>
  <si>
    <t>Necesita iteraciones, validación temprana con usuarios y capacidad de adaptación técnica.</t>
  </si>
  <si>
    <t>Participación de interesados reales</t>
  </si>
  <si>
    <t>Permite incorporar retroalimentación de docentes y administrativos durante el desarrollo.</t>
  </si>
  <si>
    <t>Limitaciones de tiempo y recursos</t>
  </si>
  <si>
    <t>El enfoque híbrido permite priorizar funcionalidades clave sin comprometer la calidad documental.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</si>
</sst>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40A]\ * #,##0_-;\-[$$-240A]\ * #,##0_-;_-[$$-240A]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44" fontId="0" fillId="2" borderId="1" xfId="1" applyFont="1" applyFill="1" applyBorder="1" applyAlignment="1">
      <alignment horizontal="right" vertical="center" wrapText="1"/>
    </xf>
    <xf numFmtId="165" fontId="2" fillId="4" borderId="1" xfId="1" applyNumberFormat="1" applyFont="1" applyFill="1" applyBorder="1" applyAlignment="1">
      <alignment horizontal="center" vertical="center" wrapText="1"/>
    </xf>
    <xf numFmtId="165" fontId="0" fillId="2" borderId="1" xfId="1" applyNumberFormat="1" applyFont="1" applyFill="1" applyBorder="1" applyAlignment="1">
      <alignment horizontal="right" vertical="center" wrapText="1"/>
    </xf>
    <xf numFmtId="165" fontId="0" fillId="0" borderId="0" xfId="1" applyNumberFormat="1" applyFont="1" applyAlignment="1">
      <alignment horizontal="right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ED11-D8D9-48AE-A75D-7CA0EE4219B7}">
  <dimension ref="A1:E20"/>
  <sheetViews>
    <sheetView topLeftCell="A13" workbookViewId="0">
      <selection activeCell="A22" sqref="A22:XFD35"/>
    </sheetView>
  </sheetViews>
  <sheetFormatPr baseColWidth="10" defaultRowHeight="15" x14ac:dyDescent="0.25"/>
  <cols>
    <col min="1" max="1" width="26.5703125" bestFit="1" customWidth="1"/>
    <col min="2" max="2" width="40.28515625" bestFit="1" customWidth="1"/>
    <col min="3" max="3" width="16.28515625" style="1" bestFit="1" customWidth="1"/>
    <col min="4" max="4" width="20.5703125" style="13" customWidth="1"/>
    <col min="5" max="5" width="14.85546875" style="9" bestFit="1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11" t="s">
        <v>40</v>
      </c>
      <c r="E1" s="6" t="s">
        <v>41</v>
      </c>
    </row>
    <row r="2" spans="1:5" x14ac:dyDescent="0.25">
      <c r="A2" s="14" t="s">
        <v>3</v>
      </c>
      <c r="B2" s="15"/>
      <c r="C2" s="15"/>
      <c r="D2" s="15"/>
      <c r="E2" s="16"/>
    </row>
    <row r="3" spans="1:5" x14ac:dyDescent="0.25">
      <c r="A3" s="2" t="s">
        <v>4</v>
      </c>
      <c r="B3" s="2" t="s">
        <v>5</v>
      </c>
      <c r="C3" s="3" t="s">
        <v>50</v>
      </c>
      <c r="D3" s="12" t="s">
        <v>44</v>
      </c>
      <c r="E3" s="7">
        <v>4800000</v>
      </c>
    </row>
    <row r="4" spans="1:5" x14ac:dyDescent="0.25">
      <c r="A4" s="2" t="s">
        <v>7</v>
      </c>
      <c r="B4" s="2" t="s">
        <v>8</v>
      </c>
      <c r="C4" s="3" t="s">
        <v>49</v>
      </c>
      <c r="D4" s="12" t="s">
        <v>42</v>
      </c>
      <c r="E4" s="7">
        <v>8000000</v>
      </c>
    </row>
    <row r="5" spans="1:5" x14ac:dyDescent="0.25">
      <c r="A5" s="2" t="s">
        <v>9</v>
      </c>
      <c r="B5" s="2" t="s">
        <v>10</v>
      </c>
      <c r="C5" s="3" t="s">
        <v>49</v>
      </c>
      <c r="D5" s="12" t="s">
        <v>43</v>
      </c>
      <c r="E5" s="7">
        <v>6400000</v>
      </c>
    </row>
    <row r="6" spans="1:5" x14ac:dyDescent="0.25">
      <c r="A6" s="2" t="s">
        <v>11</v>
      </c>
      <c r="B6" s="2" t="s">
        <v>12</v>
      </c>
      <c r="C6" s="3" t="s">
        <v>6</v>
      </c>
      <c r="D6" s="12" t="s">
        <v>44</v>
      </c>
      <c r="E6" s="7">
        <v>2400000</v>
      </c>
    </row>
    <row r="7" spans="1:5" x14ac:dyDescent="0.25">
      <c r="A7" s="14" t="s">
        <v>13</v>
      </c>
      <c r="B7" s="15"/>
      <c r="C7" s="15"/>
      <c r="D7" s="15"/>
      <c r="E7" s="16"/>
    </row>
    <row r="8" spans="1:5" x14ac:dyDescent="0.25">
      <c r="A8" s="2" t="s">
        <v>14</v>
      </c>
      <c r="B8" s="2" t="s">
        <v>15</v>
      </c>
      <c r="C8" s="3" t="s">
        <v>16</v>
      </c>
      <c r="D8" s="12">
        <v>250000</v>
      </c>
      <c r="E8" s="12">
        <v>250000</v>
      </c>
    </row>
    <row r="9" spans="1:5" x14ac:dyDescent="0.25">
      <c r="A9" s="2" t="s">
        <v>17</v>
      </c>
      <c r="B9" s="2" t="s">
        <v>48</v>
      </c>
      <c r="C9" s="3" t="s">
        <v>18</v>
      </c>
      <c r="D9" s="12">
        <v>120000</v>
      </c>
      <c r="E9" s="10">
        <v>120000</v>
      </c>
    </row>
    <row r="10" spans="1:5" x14ac:dyDescent="0.25">
      <c r="A10" s="2" t="s">
        <v>19</v>
      </c>
      <c r="B10" s="2" t="s">
        <v>20</v>
      </c>
      <c r="C10" s="3" t="s">
        <v>21</v>
      </c>
      <c r="D10" s="12">
        <v>80000</v>
      </c>
      <c r="E10" s="10">
        <v>80000</v>
      </c>
    </row>
    <row r="11" spans="1:5" x14ac:dyDescent="0.25">
      <c r="A11" s="14" t="s">
        <v>22</v>
      </c>
      <c r="B11" s="15"/>
      <c r="C11" s="15"/>
      <c r="D11" s="15"/>
      <c r="E11" s="16"/>
    </row>
    <row r="12" spans="1:5" x14ac:dyDescent="0.25">
      <c r="A12" s="2" t="s">
        <v>23</v>
      </c>
      <c r="B12" s="2" t="s">
        <v>24</v>
      </c>
      <c r="C12" s="3" t="s">
        <v>25</v>
      </c>
      <c r="D12" s="12">
        <v>0</v>
      </c>
      <c r="E12" s="7">
        <v>0</v>
      </c>
    </row>
    <row r="13" spans="1:5" x14ac:dyDescent="0.25">
      <c r="A13" s="2" t="s">
        <v>26</v>
      </c>
      <c r="B13" s="2" t="s">
        <v>45</v>
      </c>
      <c r="C13" s="3" t="s">
        <v>25</v>
      </c>
      <c r="D13" s="12">
        <v>0</v>
      </c>
      <c r="E13" s="7">
        <v>0</v>
      </c>
    </row>
    <row r="14" spans="1:5" x14ac:dyDescent="0.25">
      <c r="A14" s="14" t="s">
        <v>27</v>
      </c>
      <c r="B14" s="15"/>
      <c r="C14" s="15"/>
      <c r="D14" s="15"/>
      <c r="E14" s="16"/>
    </row>
    <row r="15" spans="1:5" x14ac:dyDescent="0.25">
      <c r="A15" s="2" t="s">
        <v>28</v>
      </c>
      <c r="B15" s="2" t="s">
        <v>29</v>
      </c>
      <c r="C15" s="3" t="s">
        <v>30</v>
      </c>
      <c r="D15" s="12" t="s">
        <v>46</v>
      </c>
      <c r="E15" s="7">
        <v>4800000</v>
      </c>
    </row>
    <row r="16" spans="1:5" x14ac:dyDescent="0.25">
      <c r="A16" s="2" t="s">
        <v>31</v>
      </c>
      <c r="B16" s="2" t="s">
        <v>47</v>
      </c>
      <c r="C16" s="3" t="s">
        <v>32</v>
      </c>
      <c r="D16" s="7">
        <v>100000</v>
      </c>
      <c r="E16" s="7">
        <v>100000</v>
      </c>
    </row>
    <row r="17" spans="1:5" x14ac:dyDescent="0.25">
      <c r="A17" s="14" t="s">
        <v>33</v>
      </c>
      <c r="B17" s="15"/>
      <c r="C17" s="15"/>
      <c r="D17" s="15"/>
      <c r="E17" s="16"/>
    </row>
    <row r="18" spans="1:5" x14ac:dyDescent="0.25">
      <c r="A18" s="2" t="s">
        <v>34</v>
      </c>
      <c r="B18" s="2" t="s">
        <v>35</v>
      </c>
      <c r="C18" s="3" t="s">
        <v>36</v>
      </c>
      <c r="D18" s="12" t="s">
        <v>51</v>
      </c>
      <c r="E18" s="7">
        <v>250000</v>
      </c>
    </row>
    <row r="19" spans="1:5" x14ac:dyDescent="0.25">
      <c r="A19" s="2" t="s">
        <v>37</v>
      </c>
      <c r="B19" s="2" t="s">
        <v>38</v>
      </c>
      <c r="C19" s="3" t="s">
        <v>25</v>
      </c>
      <c r="D19" s="12" t="s">
        <v>25</v>
      </c>
      <c r="E19" s="7">
        <f>E20*0.1</f>
        <v>2720000</v>
      </c>
    </row>
    <row r="20" spans="1:5" x14ac:dyDescent="0.25">
      <c r="A20" s="17" t="s">
        <v>39</v>
      </c>
      <c r="B20" s="18"/>
      <c r="C20" s="18"/>
      <c r="D20" s="19"/>
      <c r="E20" s="8">
        <f>SUM(E3:E6,E8:E10,E12:E13,E15:E16,E18)</f>
        <v>27200000</v>
      </c>
    </row>
  </sheetData>
  <mergeCells count="6">
    <mergeCell ref="A20:D20"/>
    <mergeCell ref="A2:E2"/>
    <mergeCell ref="A7:E7"/>
    <mergeCell ref="A11:E11"/>
    <mergeCell ref="A14:E14"/>
    <mergeCell ref="A17:E1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8EA1-FF92-4E8A-9CAC-27EEA7CF8E0A}">
  <dimension ref="A1:E13"/>
  <sheetViews>
    <sheetView workbookViewId="0">
      <selection sqref="A1:C2"/>
    </sheetView>
  </sheetViews>
  <sheetFormatPr baseColWidth="10" defaultRowHeight="15" x14ac:dyDescent="0.25"/>
  <cols>
    <col min="1" max="1" width="27.140625" bestFit="1" customWidth="1"/>
    <col min="2" max="2" width="40.7109375" bestFit="1" customWidth="1"/>
    <col min="3" max="3" width="76.85546875" bestFit="1" customWidth="1"/>
  </cols>
  <sheetData>
    <row r="1" spans="1:5" x14ac:dyDescent="0.25">
      <c r="A1" s="5" t="s">
        <v>52</v>
      </c>
      <c r="B1" s="5" t="s">
        <v>53</v>
      </c>
      <c r="C1" s="5" t="s">
        <v>54</v>
      </c>
      <c r="D1" s="13"/>
      <c r="E1" s="9"/>
    </row>
    <row r="2" spans="1:5" ht="30" x14ac:dyDescent="0.25">
      <c r="A2" s="23" t="s">
        <v>55</v>
      </c>
      <c r="B2" s="2" t="s">
        <v>56</v>
      </c>
      <c r="C2" s="2" t="s">
        <v>57</v>
      </c>
      <c r="D2" s="13"/>
      <c r="E2" s="9"/>
    </row>
    <row r="3" spans="1:5" ht="30" x14ac:dyDescent="0.25">
      <c r="A3" s="20" t="s">
        <v>58</v>
      </c>
      <c r="B3" s="2" t="s">
        <v>59</v>
      </c>
      <c r="C3" s="2" t="s">
        <v>60</v>
      </c>
      <c r="D3" s="13"/>
      <c r="E3" s="9"/>
    </row>
    <row r="4" spans="1:5" x14ac:dyDescent="0.25">
      <c r="A4" s="21"/>
      <c r="B4" s="2" t="s">
        <v>61</v>
      </c>
      <c r="C4" s="2" t="s">
        <v>62</v>
      </c>
      <c r="D4" s="13"/>
      <c r="E4" s="9"/>
    </row>
    <row r="5" spans="1:5" x14ac:dyDescent="0.25">
      <c r="A5" s="21"/>
      <c r="B5" s="2" t="s">
        <v>63</v>
      </c>
      <c r="C5" s="2" t="s">
        <v>64</v>
      </c>
      <c r="D5" s="13"/>
      <c r="E5" s="9"/>
    </row>
    <row r="6" spans="1:5" x14ac:dyDescent="0.25">
      <c r="A6" s="21"/>
      <c r="B6" s="2" t="s">
        <v>65</v>
      </c>
      <c r="C6" s="2" t="s">
        <v>66</v>
      </c>
      <c r="D6" s="13"/>
      <c r="E6" s="9"/>
    </row>
    <row r="7" spans="1:5" x14ac:dyDescent="0.25">
      <c r="A7" s="22"/>
      <c r="B7" s="2" t="s">
        <v>67</v>
      </c>
      <c r="C7" s="2" t="s">
        <v>68</v>
      </c>
      <c r="D7" s="13"/>
      <c r="E7" s="9"/>
    </row>
    <row r="8" spans="1:5" x14ac:dyDescent="0.25">
      <c r="A8" s="24" t="s">
        <v>81</v>
      </c>
      <c r="B8" s="25"/>
      <c r="C8" s="26"/>
      <c r="D8" s="13"/>
      <c r="E8" s="9"/>
    </row>
    <row r="9" spans="1:5" x14ac:dyDescent="0.25">
      <c r="A9" s="23" t="s">
        <v>69</v>
      </c>
      <c r="B9" s="2" t="s">
        <v>76</v>
      </c>
      <c r="C9" s="2" t="s">
        <v>70</v>
      </c>
      <c r="D9" s="13"/>
      <c r="E9" s="9"/>
    </row>
    <row r="10" spans="1:5" x14ac:dyDescent="0.25">
      <c r="A10" s="23" t="s">
        <v>4</v>
      </c>
      <c r="B10" s="2" t="s">
        <v>77</v>
      </c>
      <c r="C10" s="2" t="s">
        <v>71</v>
      </c>
      <c r="D10" s="13"/>
      <c r="E10" s="9"/>
    </row>
    <row r="11" spans="1:5" x14ac:dyDescent="0.25">
      <c r="A11" s="23" t="s">
        <v>7</v>
      </c>
      <c r="B11" s="2" t="s">
        <v>78</v>
      </c>
      <c r="C11" s="2" t="s">
        <v>72</v>
      </c>
      <c r="D11" s="13"/>
      <c r="E11" s="9"/>
    </row>
    <row r="12" spans="1:5" x14ac:dyDescent="0.25">
      <c r="A12" s="23" t="s">
        <v>73</v>
      </c>
      <c r="B12" s="2" t="s">
        <v>79</v>
      </c>
      <c r="C12" s="2" t="s">
        <v>74</v>
      </c>
      <c r="D12" s="13"/>
      <c r="E12" s="9"/>
    </row>
    <row r="13" spans="1:5" x14ac:dyDescent="0.25">
      <c r="A13" s="23" t="s">
        <v>11</v>
      </c>
      <c r="B13" s="2" t="s">
        <v>80</v>
      </c>
      <c r="C13" s="2" t="s">
        <v>75</v>
      </c>
      <c r="D13" s="13"/>
      <c r="E13" s="9"/>
    </row>
  </sheetData>
  <mergeCells count="2">
    <mergeCell ref="A8:C8"/>
    <mergeCell ref="A3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3E80-E3B8-43E7-B62B-37C17C97BB1F}">
  <dimension ref="A1:B5"/>
  <sheetViews>
    <sheetView tabSelected="1" workbookViewId="0">
      <selection activeCell="D14" sqref="D14"/>
    </sheetView>
  </sheetViews>
  <sheetFormatPr baseColWidth="10" defaultRowHeight="15" x14ac:dyDescent="0.25"/>
  <cols>
    <col min="1" max="1" width="33.140625" bestFit="1" customWidth="1"/>
    <col min="2" max="2" width="56.28515625" bestFit="1" customWidth="1"/>
  </cols>
  <sheetData>
    <row r="1" spans="1:2" x14ac:dyDescent="0.25">
      <c r="A1" s="5" t="s">
        <v>82</v>
      </c>
      <c r="B1" s="5" t="s">
        <v>83</v>
      </c>
    </row>
    <row r="2" spans="1:2" ht="30" x14ac:dyDescent="0.25">
      <c r="A2" s="23" t="s">
        <v>84</v>
      </c>
      <c r="B2" s="2" t="s">
        <v>85</v>
      </c>
    </row>
    <row r="3" spans="1:2" ht="30" x14ac:dyDescent="0.25">
      <c r="A3" s="23" t="s">
        <v>86</v>
      </c>
      <c r="B3" s="2" t="s">
        <v>87</v>
      </c>
    </row>
    <row r="4" spans="1:2" ht="30" x14ac:dyDescent="0.25">
      <c r="A4" s="23" t="s">
        <v>88</v>
      </c>
      <c r="B4" s="2" t="s">
        <v>89</v>
      </c>
    </row>
    <row r="5" spans="1:2" ht="30" x14ac:dyDescent="0.25">
      <c r="A5" s="23" t="s">
        <v>90</v>
      </c>
      <c r="B5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</vt:lpstr>
      <vt:lpstr>Roles Sponsor</vt:lpstr>
      <vt:lpstr>Metodologia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Alvarez</dc:creator>
  <cp:lastModifiedBy>Jose Alvarez</cp:lastModifiedBy>
  <dcterms:created xsi:type="dcterms:W3CDTF">2025-10-12T00:12:27Z</dcterms:created>
  <dcterms:modified xsi:type="dcterms:W3CDTF">2025-10-12T01:30:08Z</dcterms:modified>
</cp:coreProperties>
</file>