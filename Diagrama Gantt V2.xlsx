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codeName="ThisWorkbook"/>
  <xr:revisionPtr revIDLastSave="0" documentId="13_ncr:1_{82EBED7B-9A4C-488A-A833-05E6CD14EBF6}" xr6:coauthVersionLast="47" xr6:coauthVersionMax="47" xr10:uidLastSave="{00000000-0000-0000-0000-000000000000}"/>
  <bookViews>
    <workbookView xWindow="-120" yWindow="-120" windowWidth="29040" windowHeight="16440" xr2:uid="{00000000-000D-0000-FFFF-FFFF00000000}"/>
  </bookViews>
  <sheets>
    <sheet name="calendarioproyecto" sheetId="11" r:id="rId1"/>
    <sheet name="Hoja1" sheetId="12" r:id="rId2"/>
  </sheets>
  <externalReferences>
    <externalReference r:id="rId3"/>
    <externalReference r:id="rId4"/>
    <externalReference r:id="rId5"/>
  </externalReferences>
  <definedNames>
    <definedName name="CIQWBGuid" hidden="1">"2cd8126d-26c3-430c-b7fa-a069e3a1fc62"</definedName>
    <definedName name="CODIGO1">[1]DIARIO!$C$12:$C$501</definedName>
    <definedName name="CODIGO2">[2]BALANCE!$A1</definedName>
    <definedName name="DEBE">[1]DIARIO!$F$12:$F$501</definedName>
    <definedName name="Fecha_final" localSheetId="0">calendarioproyecto!$H1</definedName>
    <definedName name="Fecha_incio" localSheetId="0">calendarioproyecto!$G1</definedName>
    <definedName name="HABER">[1]DIARIO!$G$12:$G$501</definedName>
    <definedName name="hoy" localSheetId="0">TODAY()</definedName>
    <definedName name="InicioDelProyecto">calendarioproyecto!$G$3</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41666.7099189815</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Progresos" localSheetId="0">calendarioproyecto!$F1</definedName>
    <definedName name="SemanaParaMostrar">calendarioproyecto!$G$4</definedName>
    <definedName name="_xlnm.Print_Titles" localSheetId="0">calendarioproyecto!$4:$6</definedName>
    <definedName name="Type">'[3]Maintenance Work Order'!#REF!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22" i="11" l="1"/>
  <c r="H20" i="11"/>
  <c r="H19" i="11"/>
  <c r="H18" i="11"/>
  <c r="H17" i="11"/>
  <c r="H15" i="11"/>
  <c r="H14" i="11"/>
  <c r="H13" i="11"/>
  <c r="H11" i="11"/>
  <c r="H10" i="11"/>
  <c r="H9" i="11"/>
  <c r="G10" i="11" s="1"/>
  <c r="G11" i="11" s="1"/>
  <c r="G13" i="11" s="1"/>
  <c r="G9" i="11"/>
  <c r="J8" i="11"/>
  <c r="J12" i="11"/>
  <c r="G14" i="11" l="1"/>
  <c r="G15" i="11"/>
  <c r="G17" i="11" s="1"/>
  <c r="J9" i="11"/>
  <c r="J13" i="11"/>
  <c r="J7" i="11"/>
  <c r="G18" i="11" l="1"/>
  <c r="K5" i="11"/>
  <c r="J32" i="11"/>
  <c r="G19" i="11" l="1"/>
  <c r="G20" i="11" s="1"/>
  <c r="G22" i="11" s="1"/>
  <c r="K6" i="11"/>
  <c r="G23" i="11" l="1"/>
  <c r="J67" i="11"/>
  <c r="J44" i="11"/>
  <c r="L5" i="11"/>
  <c r="M5" i="11" s="1"/>
  <c r="N5" i="11" s="1"/>
  <c r="O5" i="11" s="1"/>
  <c r="P5" i="11" s="1"/>
  <c r="Q5" i="11" s="1"/>
  <c r="R5" i="11" s="1"/>
  <c r="K4" i="11"/>
  <c r="H23" i="11" l="1"/>
  <c r="G24" i="11" s="1"/>
  <c r="H24" i="11" s="1"/>
  <c r="G25" i="11" s="1"/>
  <c r="H25" i="11" s="1"/>
  <c r="G26" i="11" s="1"/>
  <c r="H26" i="11" s="1"/>
  <c r="J18" i="11"/>
  <c r="J17" i="11"/>
  <c r="R4" i="11"/>
  <c r="S5" i="11"/>
  <c r="T5" i="11" s="1"/>
  <c r="U5" i="11" s="1"/>
  <c r="V5" i="11" s="1"/>
  <c r="W5" i="11" s="1"/>
  <c r="X5" i="11" s="1"/>
  <c r="L6" i="11"/>
  <c r="J26" i="11" l="1"/>
  <c r="Y5" i="11"/>
  <c r="Y4" i="11" s="1"/>
  <c r="J25" i="11"/>
  <c r="J23" i="11"/>
  <c r="J20" i="11"/>
  <c r="J19" i="11"/>
  <c r="M6" i="11"/>
  <c r="G27" i="11" l="1"/>
  <c r="H27" i="11" s="1"/>
  <c r="Z5" i="11"/>
  <c r="AA5" i="11" s="1"/>
  <c r="AB5" i="11" s="1"/>
  <c r="AC5" i="11" s="1"/>
  <c r="AD5" i="11" s="1"/>
  <c r="AE5" i="11" s="1"/>
  <c r="AF5" i="11" s="1"/>
  <c r="N6" i="11"/>
  <c r="G28" i="11" l="1"/>
  <c r="H28" i="11" s="1"/>
  <c r="J27" i="11"/>
  <c r="O6" i="11"/>
  <c r="G29" i="11" l="1"/>
  <c r="H29" i="11" s="1"/>
  <c r="P6" i="11"/>
  <c r="G30" i="11" l="1"/>
  <c r="H30" i="11" s="1"/>
  <c r="Q6" i="11"/>
  <c r="G31" i="11" l="1"/>
  <c r="H31" i="11" s="1"/>
  <c r="G33" i="11" s="1"/>
  <c r="R6" i="11"/>
  <c r="S6" i="11"/>
  <c r="H33" i="11" l="1"/>
  <c r="G34" i="11" s="1"/>
  <c r="H34" i="11" s="1"/>
  <c r="G35" i="11" s="1"/>
  <c r="H35" i="11" s="1"/>
  <c r="G37" i="11" s="1"/>
  <c r="H37" i="11" s="1"/>
  <c r="G38" i="11" s="1"/>
  <c r="H38" i="11" s="1"/>
  <c r="G39" i="11" s="1"/>
  <c r="J33" i="11"/>
  <c r="T6" i="11"/>
  <c r="H39" i="11" l="1"/>
  <c r="G41" i="11" s="1"/>
  <c r="J39" i="11"/>
  <c r="AF4" i="11"/>
  <c r="AG5" i="11"/>
  <c r="AH5" i="11" s="1"/>
  <c r="AI5" i="11" s="1"/>
  <c r="AJ5" i="11" s="1"/>
  <c r="AK5" i="11" s="1"/>
  <c r="AL5" i="11" s="1"/>
  <c r="AM5" i="11" s="1"/>
  <c r="U6" i="11"/>
  <c r="H41" i="11" l="1"/>
  <c r="G42" i="11" s="1"/>
  <c r="AN5" i="11"/>
  <c r="AO5" i="11" s="1"/>
  <c r="AP5" i="11" s="1"/>
  <c r="AQ5" i="11" s="1"/>
  <c r="AR5" i="11" s="1"/>
  <c r="AS5" i="11" s="1"/>
  <c r="AT5" i="11" s="1"/>
  <c r="AM4" i="11"/>
  <c r="V6" i="11"/>
  <c r="J41" i="11" l="1"/>
  <c r="H42" i="11"/>
  <c r="G43" i="11" s="1"/>
  <c r="H43" i="11" s="1"/>
  <c r="J42" i="11"/>
  <c r="AU5" i="11"/>
  <c r="AT4" i="11"/>
  <c r="W6" i="11"/>
  <c r="J43" i="11" l="1"/>
  <c r="G45" i="11"/>
  <c r="AV5" i="11"/>
  <c r="AU6" i="11"/>
  <c r="X6" i="11"/>
  <c r="H45" i="11" l="1"/>
  <c r="G46" i="11" s="1"/>
  <c r="J45" i="11"/>
  <c r="AW5" i="11"/>
  <c r="AV6" i="11"/>
  <c r="Y6" i="11"/>
  <c r="H46" i="11" l="1"/>
  <c r="G47" i="11" s="1"/>
  <c r="AX5" i="11"/>
  <c r="AW6" i="11"/>
  <c r="Z6" i="11"/>
  <c r="J46" i="11" l="1"/>
  <c r="H47" i="11"/>
  <c r="G49" i="11" s="1"/>
  <c r="H49" i="11" s="1"/>
  <c r="G50" i="11" s="1"/>
  <c r="H50" i="11" s="1"/>
  <c r="G51" i="11" s="1"/>
  <c r="H51" i="11" s="1"/>
  <c r="G52" i="11" s="1"/>
  <c r="H52" i="11" s="1"/>
  <c r="G54" i="11" s="1"/>
  <c r="H54" i="11" s="1"/>
  <c r="AY5" i="11"/>
  <c r="AX6" i="11"/>
  <c r="AA6" i="11"/>
  <c r="J47" i="11" l="1"/>
  <c r="G55" i="11"/>
  <c r="H55" i="11" s="1"/>
  <c r="G57" i="11" s="1"/>
  <c r="H57" i="11" s="1"/>
  <c r="G58" i="11" s="1"/>
  <c r="H58" i="11" s="1"/>
  <c r="G59" i="11" s="1"/>
  <c r="H59" i="11" s="1"/>
  <c r="G61" i="11" s="1"/>
  <c r="H61" i="11" s="1"/>
  <c r="G62" i="11" s="1"/>
  <c r="H62" i="11" s="1"/>
  <c r="G63" i="11" s="1"/>
  <c r="AY6" i="11"/>
  <c r="AZ5" i="11"/>
  <c r="AB6" i="11"/>
  <c r="H63" i="11" l="1"/>
  <c r="G65" i="11" s="1"/>
  <c r="H65" i="11" s="1"/>
  <c r="G66" i="11" s="1"/>
  <c r="J63" i="11"/>
  <c r="BA5" i="11"/>
  <c r="AZ6" i="11"/>
  <c r="AC6" i="11"/>
  <c r="H66" i="11" l="1"/>
  <c r="J66" i="11"/>
  <c r="BA6" i="11"/>
  <c r="BA4" i="11"/>
  <c r="BB5" i="11"/>
  <c r="AD6" i="11"/>
  <c r="BC5" i="11" l="1"/>
  <c r="BB6" i="11"/>
  <c r="AE6" i="11"/>
  <c r="BC6" i="11" l="1"/>
  <c r="BD5" i="11"/>
  <c r="AF6" i="11"/>
  <c r="BD6" i="11" l="1"/>
  <c r="BE5" i="11"/>
  <c r="AG6" i="11"/>
  <c r="BE6" i="11" l="1"/>
  <c r="BF5" i="11"/>
  <c r="AH6" i="11"/>
  <c r="BG5" i="11" l="1"/>
  <c r="BF6" i="11"/>
  <c r="AI6" i="11"/>
  <c r="BG6" i="11" l="1"/>
  <c r="BH5" i="11"/>
  <c r="AJ6" i="11"/>
  <c r="BH6" i="11" l="1"/>
  <c r="BI5" i="11"/>
  <c r="BH4" i="11"/>
  <c r="AK6" i="11"/>
  <c r="BI6" i="11" l="1"/>
  <c r="BJ5" i="11"/>
  <c r="AL6" i="11"/>
  <c r="BK5" i="11" l="1"/>
  <c r="BJ6" i="11"/>
  <c r="AM6" i="11"/>
  <c r="BK6" i="11" l="1"/>
  <c r="BL5" i="11"/>
  <c r="AN6" i="11"/>
  <c r="BM5" i="11" l="1"/>
  <c r="BL6" i="11"/>
  <c r="AO6" i="11"/>
  <c r="BN5" i="11" l="1"/>
  <c r="BM6" i="11"/>
  <c r="AP6" i="11"/>
  <c r="BO5" i="11" l="1"/>
  <c r="BN6" i="11"/>
  <c r="AQ6" i="11"/>
  <c r="BP5" i="11" l="1"/>
  <c r="BO6" i="11"/>
  <c r="BO4" i="11"/>
  <c r="AR6" i="11"/>
  <c r="BQ5" i="11" l="1"/>
  <c r="BP6" i="11"/>
  <c r="AS6" i="11"/>
  <c r="BR5" i="11" l="1"/>
  <c r="BQ6" i="11"/>
  <c r="AT6" i="11"/>
  <c r="BS5" i="11" l="1"/>
  <c r="BR6" i="11"/>
  <c r="BT5" i="11" l="1"/>
  <c r="BS6" i="11"/>
  <c r="BU5" i="11" l="1"/>
  <c r="BT6" i="11"/>
  <c r="BU6" i="11" l="1"/>
  <c r="BV5" i="11"/>
  <c r="BW5" i="11" l="1"/>
  <c r="BV6" i="11"/>
  <c r="BV4" i="11"/>
  <c r="BW6" i="11" l="1"/>
  <c r="BX5" i="11"/>
  <c r="BY5" i="11" l="1"/>
  <c r="BX6" i="11"/>
  <c r="BZ5" i="11" l="1"/>
  <c r="BY6" i="11"/>
  <c r="CA5" i="11" l="1"/>
  <c r="BZ6" i="11"/>
  <c r="CB5" i="11" l="1"/>
  <c r="CA6" i="11"/>
  <c r="CB6" i="11" l="1"/>
  <c r="CC5" i="11"/>
  <c r="CD5" i="11" l="1"/>
  <c r="CC4" i="11"/>
  <c r="CC6" i="11"/>
  <c r="CD6" i="11" l="1"/>
  <c r="CE5" i="11"/>
  <c r="CE6" i="11" l="1"/>
  <c r="CF5" i="11"/>
  <c r="CF6" i="11" l="1"/>
  <c r="CG5" i="11"/>
  <c r="CH5" i="11" l="1"/>
  <c r="CG6" i="11"/>
  <c r="CI5" i="11" l="1"/>
  <c r="CH6" i="11"/>
  <c r="CI6" i="11" l="1"/>
  <c r="CJ5" i="11"/>
  <c r="CK5" i="11" l="1"/>
  <c r="CJ4" i="11"/>
  <c r="CJ6" i="11"/>
  <c r="CL5" i="11" l="1"/>
  <c r="CK6" i="11"/>
  <c r="CL6" i="11" l="1"/>
  <c r="CM5" i="11"/>
  <c r="CM6" i="11" l="1"/>
  <c r="CN5" i="11"/>
  <c r="CN6" i="11" l="1"/>
  <c r="CO5" i="11"/>
  <c r="CO6" i="11" l="1"/>
  <c r="CP5" i="11"/>
  <c r="CP6" i="11" l="1"/>
  <c r="CQ5" i="11"/>
  <c r="CR5" i="11" l="1"/>
  <c r="CQ4" i="11"/>
  <c r="CQ6" i="11"/>
  <c r="CS5" i="11" l="1"/>
  <c r="CR6" i="11"/>
  <c r="CT5" i="11" l="1"/>
  <c r="CS6" i="11"/>
  <c r="CT6" i="11" l="1"/>
  <c r="CU5" i="11"/>
  <c r="CU6" i="11" l="1"/>
  <c r="CV5" i="11"/>
  <c r="CV6" i="11" l="1"/>
  <c r="CW5" i="11"/>
  <c r="CW6" i="11" s="1"/>
</calcChain>
</file>

<file path=xl/sharedStrings.xml><?xml version="1.0" encoding="utf-8"?>
<sst xmlns="http://schemas.openxmlformats.org/spreadsheetml/2006/main" count="267" uniqueCount="143">
  <si>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</si>
  <si>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Escriba el nombre de la compañía en la celda B2.</t>
  </si>
  <si>
    <t>Escriba el nombre del responsable del proyecto en la celda B3. Escriba la fecha de comienzo del proyecto en la celda E3. Inicio del proyecto: la etiqueta se encuentra en la celda C3.</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</si>
  <si>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</si>
  <si>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</si>
  <si>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</si>
  <si>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 xml:space="preserve">No elimine esta fila. Esta fila está oculta para conservar una fórmula que se usa para resaltar el día actual dentro de la programación del proyecto. </t>
  </si>
  <si>
    <t>TAREA</t>
  </si>
  <si>
    <t>Inserte nuevas filas ENCIMA de ésta</t>
  </si>
  <si>
    <t>Inicio del proyecto:</t>
  </si>
  <si>
    <t>Semana para mostrar:</t>
  </si>
  <si>
    <t>PROGRESO</t>
  </si>
  <si>
    <t>INICIO</t>
  </si>
  <si>
    <t>FIN</t>
  </si>
  <si>
    <t>DÍAS</t>
  </si>
  <si>
    <r>
      <rPr>
        <b/>
        <sz val="14"/>
        <color theme="1"/>
        <rFont val="Calibri"/>
        <family val="2"/>
        <scheme val="minor"/>
      </rPr>
      <t xml:space="preserve">DIAGRAMA DE GANTT </t>
    </r>
    <r>
      <rPr>
        <sz val="11"/>
        <color theme="1"/>
        <rFont val="Calibri"/>
        <family val="2"/>
        <scheme val="minor"/>
      </rPr>
      <t xml:space="preserve"> </t>
    </r>
  </si>
  <si>
    <t>DocuEstudia</t>
  </si>
  <si>
    <t>Jose Miguel Alvarez Fagua</t>
  </si>
  <si>
    <t>Backend</t>
  </si>
  <si>
    <t>Frontend</t>
  </si>
  <si>
    <t>Error en Modificar</t>
  </si>
  <si>
    <t>Validar backend</t>
  </si>
  <si>
    <t>Revision de Querys</t>
  </si>
  <si>
    <t>Estructura Organización MCV</t>
  </si>
  <si>
    <t>Implementar Color</t>
  </si>
  <si>
    <t>Actualizar Datos Est</t>
  </si>
  <si>
    <t>forms/ManageStudent.php</t>
  </si>
  <si>
    <t>EXPLICACION PROGRESO</t>
  </si>
  <si>
    <t>views/AnnotationTrigger.php</t>
  </si>
  <si>
    <t>Trigger Prof</t>
  </si>
  <si>
    <t>models\TeacherModel.php</t>
  </si>
  <si>
    <t>Guardado de Imágenes Prof</t>
  </si>
  <si>
    <t>NO IMPLEMENTADO</t>
  </si>
  <si>
    <t>Revision de Permisos</t>
  </si>
  <si>
    <t>config/ProtectPages.php</t>
  </si>
  <si>
    <t>templates/HomeHeader.php</t>
  </si>
  <si>
    <t>Permiso paginas de Header</t>
  </si>
  <si>
    <t>Profesor</t>
  </si>
  <si>
    <t>Dejar campos vacios Guardado</t>
  </si>
  <si>
    <t>CRUD Insert New User</t>
  </si>
  <si>
    <t>Obligatorio</t>
  </si>
  <si>
    <t>models/AnnotationsModel.php</t>
  </si>
  <si>
    <t>Funciona Cambiar Archivo</t>
  </si>
  <si>
    <t>Funciona bien el trigger</t>
  </si>
  <si>
    <t>Asignacion de Permisos</t>
  </si>
  <si>
    <t>Crear en SQL la logica de otorgar permisos</t>
  </si>
  <si>
    <t>Esto es X Usuario</t>
  </si>
  <si>
    <t>Se leen correctamente</t>
  </si>
  <si>
    <t>Posible Error Cambio imagen</t>
  </si>
  <si>
    <t>StudentModel.php</t>
  </si>
  <si>
    <t>La idea es enviarlo al correo registrado</t>
  </si>
  <si>
    <t>Reasignar fotos Usuarios</t>
  </si>
  <si>
    <t>Diseño estructura pagina Web</t>
  </si>
  <si>
    <t>Optimizar Codigo Css Html</t>
  </si>
  <si>
    <t>Href validacion de redireccionamiento</t>
  </si>
  <si>
    <t>PRIORIDAD</t>
  </si>
  <si>
    <t>Student</t>
  </si>
  <si>
    <t>Teacher</t>
  </si>
  <si>
    <t>Alta</t>
  </si>
  <si>
    <t>RUTA ARCHIVO</t>
  </si>
  <si>
    <t>Media</t>
  </si>
  <si>
    <t>Baja</t>
  </si>
  <si>
    <t>Trigger Anotes</t>
  </si>
  <si>
    <t>FILTRAR Anot y Est</t>
  </si>
  <si>
    <t>Acudiente enviar Anot Notificacion</t>
  </si>
  <si>
    <t>Cuando solo admite 1 GB como maximo</t>
  </si>
  <si>
    <t>Prioridad</t>
  </si>
  <si>
    <t>Tarea</t>
  </si>
  <si>
    <t>Progreso</t>
  </si>
  <si>
    <t>Inicio</t>
  </si>
  <si>
    <t>Fin</t>
  </si>
  <si>
    <t>Reasignar fotos de usuarios</t>
  </si>
  <si>
    <t>Diseño de estructura de página web</t>
  </si>
  <si>
    <t>Optimización de código CSS/HTML</t>
  </si>
  <si>
    <t>Fin del proyecto:</t>
  </si>
  <si>
    <t>Validación de redireccionamiento (href)</t>
  </si>
  <si>
    <t>Revisión de permisos</t>
  </si>
  <si>
    <t>Guardado con campos vacíos (Insert User)</t>
  </si>
  <si>
    <t>Permisos en header (Profesor)</t>
  </si>
  <si>
    <t>—</t>
  </si>
  <si>
    <t>Error en modificar</t>
  </si>
  <si>
    <t>Validación general del backend</t>
  </si>
  <si>
    <t>Actualización de datos estudiantiles</t>
  </si>
  <si>
    <t>Revisión de consultas SQL</t>
  </si>
  <si>
    <t>Organización de estructura MVC</t>
  </si>
  <si>
    <t>Asignación de permisos por usuario</t>
  </si>
  <si>
    <t>Leer datos de anotaciones</t>
  </si>
  <si>
    <t>Actualizar datos de anotaciones</t>
  </si>
  <si>
    <t>Eliminar anotaciones</t>
  </si>
  <si>
    <t>Crear anotaciones con trigger</t>
  </si>
  <si>
    <t>Trigger de anotaciones</t>
  </si>
  <si>
    <t>Firma del estudiante (checkbox)</t>
  </si>
  <si>
    <t>Notificación a acudiente por correo</t>
  </si>
  <si>
    <t>Anotaciones</t>
  </si>
  <si>
    <t>Estudiantes</t>
  </si>
  <si>
    <t>Leer datos de estudiantes</t>
  </si>
  <si>
    <t>Actualizar datos (permitir campos vacíos)</t>
  </si>
  <si>
    <t>Eliminar datos de estudiantes</t>
  </si>
  <si>
    <t>Crear datos con claves foráneas</t>
  </si>
  <si>
    <t>Docentes</t>
  </si>
  <si>
    <t>Leer datos de profesores</t>
  </si>
  <si>
    <t>Actualizar datos (procedure)</t>
  </si>
  <si>
    <t>Eliminar datos de profesores</t>
  </si>
  <si>
    <t>Crear datos de profesores</t>
  </si>
  <si>
    <t>Guardado de imágenes de profesores</t>
  </si>
  <si>
    <t>Trigger para profesores</t>
  </si>
  <si>
    <t>Guardado de imágenes de estudiantes</t>
  </si>
  <si>
    <t>Semana para Mostrar:</t>
  </si>
  <si>
    <t>Analisis y levantamiento</t>
  </si>
  <si>
    <t>Levantamiento de información en la institución</t>
  </si>
  <si>
    <t>Identificación de procesos académicos</t>
  </si>
  <si>
    <t>Definición de requerimientos del sistema</t>
  </si>
  <si>
    <t>Diseño del sistema</t>
  </si>
  <si>
    <t>Diseño de base de datos</t>
  </si>
  <si>
    <t>Diseño de arquitectura MVC</t>
  </si>
  <si>
    <t>Modelado de módulos del sistema</t>
  </si>
  <si>
    <t>Modulo Usuarios</t>
  </si>
  <si>
    <t>CRUD para Datos Profesor</t>
  </si>
  <si>
    <t>CRUD para Datos Estudiantes</t>
  </si>
  <si>
    <t>CRUD para Datos Anotaciones</t>
  </si>
  <si>
    <t>Crear usuarios (admin, docente, estudiante)</t>
  </si>
  <si>
    <t>Gestión de roles y permisos</t>
  </si>
  <si>
    <t>Validación de acceso por roles</t>
  </si>
  <si>
    <t>Modulo Materias</t>
  </si>
  <si>
    <t>Crear materias</t>
  </si>
  <si>
    <t>Asignación de materias a docentes</t>
  </si>
  <si>
    <t>Consulta de materias (docente)</t>
  </si>
  <si>
    <t>Modulo Notas</t>
  </si>
  <si>
    <t>Registro de notas por estudiante</t>
  </si>
  <si>
    <t>Edición de notas</t>
  </si>
  <si>
    <t>Consulta de notas (estudiante/docente)</t>
  </si>
  <si>
    <t>Modulo Observaciones</t>
  </si>
  <si>
    <t>Modulo Reportes</t>
  </si>
  <si>
    <t>Generación de reportes académicos</t>
  </si>
  <si>
    <t>Reportes por estudiante</t>
  </si>
  <si>
    <t>Reportes por curso o materia</t>
  </si>
  <si>
    <t>Integracion y Pruebas</t>
  </si>
  <si>
    <t>Integración de módulos</t>
  </si>
  <si>
    <t>Pruebas funcionales del sistema</t>
  </si>
  <si>
    <t>Implementacion Final</t>
  </si>
  <si>
    <t>Despliegue del sistema (Cloudflare Tunnel)</t>
  </si>
  <si>
    <t>Ajustes finales</t>
  </si>
  <si>
    <t>Validación con usuarios reales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</si>
</sst>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m/d/yy;@"/>
    <numFmt numFmtId="169" formatCode="d\-m\-yy;@"/>
    <numFmt numFmtId="170" formatCode="ddd\,\ dd/mm/yyyy"/>
    <numFmt numFmtId="171" formatCode="mmm\ &quot;de&quot;\ yyyy"/>
    <numFmt numFmtId="172" formatCode="d"/>
  </numFmts>
  <fonts count="31"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9"/>
      <color theme="0"/>
      <name val="Calibri"/>
      <family val="2"/>
      <scheme val="minor"/>
    </font>
    <font>
      <b/>
      <sz val="14"/>
      <color theme="1"/>
      <name val="Calibri"/>
      <family val="2"/>
      <scheme val="minor"/>
    </font>
    <font>
      <u/>
      <sz val="11"/>
      <color theme="1"/>
      <name val="Calibri"/>
      <family val="2"/>
      <scheme val="minor"/>
    </font>
  </fonts>
  <fills count="56">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
      <patternFill patternType="solid">
        <fgColor rgb="FF00B050"/>
        <bgColor theme="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theme="6"/>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theme="5" tint="-0.249977111117893"/>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5" tint="0.39997558519241921"/>
        <bgColor indexed="64"/>
      </patternFill>
    </fill>
  </fills>
  <borders count="19">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55">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15" fillId="0" borderId="0"/>
    <xf numFmtId="167" fontId="9" fillId="0" borderId="3" applyFont="0" applyFill="0" applyAlignment="0" applyProtection="0"/>
    <xf numFmtId="0" fontId="12"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70" fontId="9" fillId="0" borderId="3">
      <alignment horizontal="center" vertical="center"/>
    </xf>
    <xf numFmtId="168"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16" fillId="0" borderId="0" applyNumberFormat="0" applyFill="0" applyBorder="0" applyAlignment="0" applyProtection="0"/>
    <xf numFmtId="166" fontId="9" fillId="0" borderId="0" applyFont="0" applyFill="0" applyBorder="0" applyAlignment="0" applyProtection="0"/>
    <xf numFmtId="165" fontId="9" fillId="0" borderId="0" applyFont="0" applyFill="0" applyBorder="0" applyAlignment="0" applyProtection="0"/>
    <xf numFmtId="164" fontId="9" fillId="0" borderId="0" applyFont="0" applyFill="0" applyBorder="0" applyAlignment="0" applyProtection="0"/>
    <xf numFmtId="0" fontId="17" fillId="0" borderId="0" applyNumberFormat="0" applyFill="0" applyBorder="0" applyAlignment="0" applyProtection="0"/>
    <xf numFmtId="0" fontId="18" fillId="11" borderId="0" applyNumberFormat="0" applyBorder="0" applyAlignment="0" applyProtection="0"/>
    <xf numFmtId="0" fontId="19" fillId="12" borderId="0" applyNumberFormat="0" applyBorder="0" applyAlignment="0" applyProtection="0"/>
    <xf numFmtId="0" fontId="20" fillId="13" borderId="0" applyNumberFormat="0" applyBorder="0" applyAlignment="0" applyProtection="0"/>
    <xf numFmtId="0" fontId="21" fillId="14" borderId="11" applyNumberFormat="0" applyAlignment="0" applyProtection="0"/>
    <xf numFmtId="0" fontId="22" fillId="15" borderId="12" applyNumberFormat="0" applyAlignment="0" applyProtection="0"/>
    <xf numFmtId="0" fontId="23" fillId="15" borderId="11" applyNumberFormat="0" applyAlignment="0" applyProtection="0"/>
    <xf numFmtId="0" fontId="24" fillId="0" borderId="13" applyNumberFormat="0" applyFill="0" applyAlignment="0" applyProtection="0"/>
    <xf numFmtId="0" fontId="25" fillId="16" borderId="14" applyNumberFormat="0" applyAlignment="0" applyProtection="0"/>
    <xf numFmtId="0" fontId="26" fillId="0" borderId="0" applyNumberFormat="0" applyFill="0" applyBorder="0" applyAlignment="0" applyProtection="0"/>
    <xf numFmtId="0" fontId="9" fillId="17" borderId="15" applyNumberFormat="0" applyFont="0" applyAlignment="0" applyProtection="0"/>
    <xf numFmtId="0" fontId="27" fillId="0" borderId="0" applyNumberFormat="0" applyFill="0" applyBorder="0" applyAlignment="0" applyProtection="0"/>
    <xf numFmtId="0" fontId="6" fillId="0" borderId="16" applyNumberFormat="0" applyFill="0" applyAlignment="0" applyProtection="0"/>
    <xf numFmtId="0" fontId="15"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15"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15"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15"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15"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15"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9" fillId="41" borderId="0" applyNumberFormat="0" applyBorder="0" applyAlignment="0" applyProtection="0"/>
    <xf numFmtId="0" fontId="9" fillId="0" borderId="0"/>
  </cellStyleXfs>
  <cellXfs count="105">
    <xf numFmtId="0" fontId="0" fillId="0" borderId="0" xfId="0"/>
    <xf numFmtId="0" fontId="0" fillId="0" borderId="0" xfId="0" applyAlignment="1">
      <alignment vertical="center"/>
    </xf>
    <xf numFmtId="0" fontId="0" fillId="0" borderId="0" xfId="0" applyAlignment="1">
      <alignment horizontal="right" vertical="center"/>
    </xf>
    <xf numFmtId="0" fontId="0" fillId="0" borderId="3" xfId="0" applyBorder="1" applyAlignment="1">
      <alignment horizontal="center" vertical="center"/>
    </xf>
    <xf numFmtId="0" fontId="5" fillId="0" borderId="2" xfId="0" applyFont="1" applyBorder="1" applyAlignment="1">
      <alignment horizontal="center" vertical="center"/>
    </xf>
    <xf numFmtId="9" fontId="5" fillId="3" borderId="2" xfId="2" applyFont="1" applyFill="1" applyBorder="1" applyAlignment="1">
      <alignment horizontal="center" vertical="center"/>
    </xf>
    <xf numFmtId="9" fontId="5" fillId="4" borderId="2" xfId="2" applyFont="1" applyFill="1" applyBorder="1" applyAlignment="1">
      <alignment horizontal="center" vertical="center"/>
    </xf>
    <xf numFmtId="9" fontId="5" fillId="10" borderId="2" xfId="2" applyFont="1" applyFill="1" applyBorder="1" applyAlignment="1">
      <alignment horizontal="center" vertical="center"/>
    </xf>
    <xf numFmtId="9" fontId="5" fillId="9" borderId="2" xfId="2" applyFont="1" applyFill="1" applyBorder="1" applyAlignment="1">
      <alignment horizontal="center" vertical="center"/>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169" fontId="4" fillId="2" borderId="2" xfId="0" applyNumberFormat="1" applyFont="1" applyFill="1" applyBorder="1" applyAlignment="1">
      <alignment horizontal="left" vertical="center"/>
    </xf>
    <xf numFmtId="169" fontId="5" fillId="2" borderId="2" xfId="0" applyNumberFormat="1" applyFont="1" applyFill="1" applyBorder="1" applyAlignment="1">
      <alignment horizontal="center" vertical="center"/>
    </xf>
    <xf numFmtId="0" fontId="7" fillId="43" borderId="1" xfId="0" applyFont="1" applyFill="1" applyBorder="1" applyAlignment="1">
      <alignment horizontal="center" vertical="center" wrapText="1"/>
    </xf>
    <xf numFmtId="0" fontId="11" fillId="42" borderId="8" xfId="0" applyFont="1" applyFill="1" applyBorder="1" applyAlignment="1">
      <alignment horizontal="center" vertical="center" shrinkToFit="1"/>
    </xf>
    <xf numFmtId="172" fontId="28" fillId="42" borderId="6" xfId="0" applyNumberFormat="1" applyFont="1" applyFill="1" applyBorder="1" applyAlignment="1">
      <alignment horizontal="center" vertical="center"/>
    </xf>
    <xf numFmtId="172" fontId="28" fillId="42" borderId="0" xfId="0" applyNumberFormat="1" applyFont="1" applyFill="1" applyAlignment="1">
      <alignment horizontal="center" vertical="center"/>
    </xf>
    <xf numFmtId="172" fontId="28" fillId="42" borderId="7" xfId="0" applyNumberFormat="1" applyFont="1" applyFill="1" applyBorder="1" applyAlignment="1">
      <alignment horizontal="center" vertical="center"/>
    </xf>
    <xf numFmtId="0" fontId="30" fillId="0" borderId="9" xfId="0" applyFont="1" applyBorder="1" applyAlignment="1">
      <alignment vertical="center"/>
    </xf>
    <xf numFmtId="9" fontId="5" fillId="44" borderId="2" xfId="2" applyFont="1" applyFill="1" applyBorder="1" applyAlignment="1">
      <alignment horizontal="center" vertical="center"/>
    </xf>
    <xf numFmtId="0" fontId="10" fillId="0" borderId="0" xfId="6" applyAlignment="1">
      <alignment horizontal="left" vertical="center"/>
    </xf>
    <xf numFmtId="0" fontId="10" fillId="0" borderId="0" xfId="7" applyAlignment="1">
      <alignment horizontal="left" vertical="center"/>
    </xf>
    <xf numFmtId="0" fontId="12" fillId="0" borderId="0" xfId="5" applyFont="1" applyAlignment="1">
      <alignment horizontal="left" vertical="center"/>
    </xf>
    <xf numFmtId="0" fontId="15" fillId="22" borderId="2" xfId="34" applyBorder="1" applyAlignment="1">
      <alignment horizontal="center" vertical="center"/>
    </xf>
    <xf numFmtId="0" fontId="12" fillId="0" borderId="0" xfId="5" applyFont="1" applyAlignment="1">
      <alignment horizontal="center" vertical="center"/>
    </xf>
    <xf numFmtId="0" fontId="10" fillId="0" borderId="0" xfId="6" applyAlignment="1">
      <alignment horizontal="center" vertical="center"/>
    </xf>
    <xf numFmtId="0" fontId="10" fillId="0" borderId="0" xfId="7" applyAlignment="1">
      <alignment horizontal="center" vertical="center"/>
    </xf>
    <xf numFmtId="0" fontId="7" fillId="43" borderId="1" xfId="0" applyFont="1" applyFill="1" applyBorder="1" applyAlignment="1">
      <alignment horizontal="center" vertical="center"/>
    </xf>
    <xf numFmtId="0" fontId="15" fillId="0" borderId="0" xfId="3" applyAlignment="1">
      <alignment vertical="center" wrapText="1"/>
    </xf>
    <xf numFmtId="0" fontId="1" fillId="0" borderId="0" xfId="0" applyFont="1" applyAlignment="1">
      <alignment horizontal="left" vertical="center"/>
    </xf>
    <xf numFmtId="0" fontId="2" fillId="0" borderId="0" xfId="0" applyFont="1" applyAlignment="1">
      <alignment vertical="center"/>
    </xf>
    <xf numFmtId="0" fontId="0" fillId="0" borderId="0" xfId="0" applyFill="1" applyAlignment="1">
      <alignment vertical="center"/>
    </xf>
    <xf numFmtId="0" fontId="15" fillId="0" borderId="0" xfId="3" applyAlignment="1">
      <alignment vertical="center"/>
    </xf>
    <xf numFmtId="0" fontId="0" fillId="0" borderId="0" xfId="0" applyAlignment="1">
      <alignment horizontal="center" vertical="center"/>
    </xf>
    <xf numFmtId="0" fontId="14" fillId="0" borderId="0" xfId="1" applyFont="1" applyAlignment="1" applyProtection="1">
      <alignment vertical="center"/>
    </xf>
    <xf numFmtId="0" fontId="15" fillId="0" borderId="0" xfId="3" applyAlignment="1">
      <alignment horizontal="center" vertical="center" wrapText="1"/>
    </xf>
    <xf numFmtId="0" fontId="0" fillId="0" borderId="0" xfId="0" applyAlignment="1">
      <alignment vertical="center" wrapText="1"/>
    </xf>
    <xf numFmtId="0" fontId="9" fillId="4" borderId="2" xfId="11" applyFill="1" applyAlignment="1">
      <alignment horizontal="center" vertical="center"/>
    </xf>
    <xf numFmtId="169" fontId="9" fillId="4" borderId="2" xfId="10" applyNumberFormat="1" applyFill="1" applyAlignment="1">
      <alignment horizontal="center" vertical="center"/>
    </xf>
    <xf numFmtId="0" fontId="9" fillId="3" borderId="2" xfId="11" applyFill="1" applyAlignment="1">
      <alignment horizontal="center" vertical="center"/>
    </xf>
    <xf numFmtId="169" fontId="9" fillId="3" borderId="2" xfId="10" applyNumberFormat="1" applyFill="1" applyAlignment="1">
      <alignment horizontal="center" vertical="center"/>
    </xf>
    <xf numFmtId="0" fontId="9" fillId="44" borderId="2" xfId="11" applyFill="1" applyAlignment="1">
      <alignment horizontal="center" vertical="center"/>
    </xf>
    <xf numFmtId="169" fontId="9" fillId="44" borderId="2" xfId="10" applyNumberFormat="1" applyFill="1" applyAlignment="1">
      <alignment horizontal="center" vertical="center"/>
    </xf>
    <xf numFmtId="0" fontId="9" fillId="10" borderId="2" xfId="11" applyFill="1" applyAlignment="1">
      <alignment horizontal="center" vertical="center"/>
    </xf>
    <xf numFmtId="169" fontId="9" fillId="10" borderId="2" xfId="10" applyNumberFormat="1" applyFill="1" applyAlignment="1">
      <alignment horizontal="center" vertical="center"/>
    </xf>
    <xf numFmtId="0" fontId="9" fillId="9" borderId="2" xfId="11" applyFill="1" applyAlignment="1">
      <alignment horizontal="center" vertical="center"/>
    </xf>
    <xf numFmtId="169" fontId="9" fillId="9" borderId="2" xfId="10" applyNumberFormat="1" applyFill="1" applyAlignment="1">
      <alignment horizontal="center" vertical="center"/>
    </xf>
    <xf numFmtId="0" fontId="8" fillId="2" borderId="2" xfId="0" applyFont="1" applyFill="1" applyBorder="1" applyAlignment="1">
      <alignment horizontal="left" vertical="center"/>
    </xf>
    <xf numFmtId="0" fontId="13" fillId="0" borderId="0" xfId="0" applyFont="1" applyAlignment="1">
      <alignment vertical="center"/>
    </xf>
    <xf numFmtId="0" fontId="15" fillId="0" borderId="0" xfId="0" applyFont="1" applyAlignment="1">
      <alignment horizontal="center" vertical="center"/>
    </xf>
    <xf numFmtId="0" fontId="15" fillId="18" borderId="2" xfId="30" applyBorder="1" applyAlignment="1">
      <alignment horizontal="center" vertical="center"/>
    </xf>
    <xf numFmtId="0" fontId="15" fillId="38" borderId="2" xfId="50" applyBorder="1" applyAlignment="1">
      <alignment horizontal="center" vertical="center"/>
    </xf>
    <xf numFmtId="0" fontId="6" fillId="8" borderId="2" xfId="0" applyFont="1" applyFill="1" applyBorder="1" applyAlignment="1">
      <alignment horizontal="centerContinuous" vertical="center"/>
    </xf>
    <xf numFmtId="0" fontId="9" fillId="8" borderId="2" xfId="11" applyFill="1" applyAlignment="1">
      <alignment horizontal="centerContinuous" vertical="center"/>
    </xf>
    <xf numFmtId="9" fontId="5" fillId="8" borderId="2" xfId="2" applyFont="1" applyFill="1" applyBorder="1" applyAlignment="1">
      <alignment horizontal="centerContinuous" vertical="center"/>
    </xf>
    <xf numFmtId="169" fontId="0" fillId="8" borderId="2" xfId="0" applyNumberFormat="1" applyFill="1" applyBorder="1" applyAlignment="1">
      <alignment horizontal="centerContinuous" vertical="center"/>
    </xf>
    <xf numFmtId="169" fontId="5" fillId="8" borderId="2" xfId="0" applyNumberFormat="1" applyFont="1" applyFill="1" applyBorder="1" applyAlignment="1">
      <alignment horizontal="centerContinuous" vertical="center"/>
    </xf>
    <xf numFmtId="0" fontId="6" fillId="46" borderId="17" xfId="0" applyFont="1" applyFill="1" applyBorder="1" applyAlignment="1">
      <alignment horizontal="center" vertical="center" wrapText="1"/>
    </xf>
    <xf numFmtId="0" fontId="0" fillId="0" borderId="17" xfId="0" applyBorder="1" applyAlignment="1">
      <alignment horizontal="center" vertical="center" wrapText="1"/>
    </xf>
    <xf numFmtId="9" fontId="0" fillId="0" borderId="17" xfId="0" applyNumberFormat="1" applyBorder="1" applyAlignment="1">
      <alignment horizontal="center" vertical="center" wrapText="1"/>
    </xf>
    <xf numFmtId="14" fontId="0" fillId="0" borderId="17" xfId="0" applyNumberFormat="1" applyBorder="1" applyAlignment="1">
      <alignment horizontal="center" vertical="center" wrapText="1"/>
    </xf>
    <xf numFmtId="0" fontId="9" fillId="0" borderId="7" xfId="8" applyBorder="1" applyAlignment="1">
      <alignment horizontal="right" vertical="center"/>
    </xf>
    <xf numFmtId="0" fontId="9" fillId="0" borderId="0" xfId="8" applyAlignment="1">
      <alignment vertical="center"/>
    </xf>
    <xf numFmtId="0" fontId="9" fillId="0" borderId="0" xfId="8" applyAlignment="1">
      <alignment horizontal="center" vertical="center"/>
    </xf>
    <xf numFmtId="0" fontId="9" fillId="4" borderId="2" xfId="12" applyFill="1" applyAlignment="1">
      <alignment horizontal="left" vertical="center" wrapText="1"/>
    </xf>
    <xf numFmtId="0" fontId="9" fillId="3" borderId="2" xfId="12" applyFill="1" applyAlignment="1">
      <alignment horizontal="left" vertical="center" wrapText="1"/>
    </xf>
    <xf numFmtId="0" fontId="9" fillId="44" borderId="2" xfId="12" applyFill="1" applyAlignment="1">
      <alignment horizontal="left" vertical="center" wrapText="1"/>
    </xf>
    <xf numFmtId="0" fontId="9" fillId="10" borderId="2" xfId="12" applyFont="1" applyFill="1" applyAlignment="1">
      <alignment horizontal="left" vertical="center" wrapText="1"/>
    </xf>
    <xf numFmtId="0" fontId="9" fillId="10" borderId="2" xfId="12" applyFill="1" applyAlignment="1">
      <alignment horizontal="left" vertical="center" wrapText="1"/>
    </xf>
    <xf numFmtId="0" fontId="9" fillId="9" borderId="2" xfId="12" applyFill="1" applyAlignment="1">
      <alignment horizontal="left" vertical="center" wrapText="1"/>
    </xf>
    <xf numFmtId="0" fontId="9" fillId="6" borderId="2" xfId="12" applyFill="1" applyAlignment="1">
      <alignment horizontal="left" vertical="center" wrapText="1"/>
    </xf>
    <xf numFmtId="169" fontId="9" fillId="6" borderId="2" xfId="10" applyNumberFormat="1" applyFill="1" applyAlignment="1">
      <alignment horizontal="center" vertical="center"/>
    </xf>
    <xf numFmtId="169" fontId="9" fillId="5" borderId="2" xfId="10" applyNumberFormat="1" applyFill="1" applyAlignment="1">
      <alignment horizontal="center" vertical="center"/>
    </xf>
    <xf numFmtId="0" fontId="9" fillId="5" borderId="2" xfId="12" applyFill="1" applyAlignment="1">
      <alignment horizontal="left" vertical="center" wrapText="1"/>
    </xf>
    <xf numFmtId="0" fontId="6" fillId="5" borderId="2" xfId="0" applyFont="1" applyFill="1" applyBorder="1" applyAlignment="1">
      <alignment horizontal="center" vertical="center"/>
    </xf>
    <xf numFmtId="171" fontId="15" fillId="42" borderId="4" xfId="0" applyNumberFormat="1" applyFont="1" applyFill="1" applyBorder="1" applyAlignment="1">
      <alignment horizontal="left" vertical="center" wrapText="1"/>
    </xf>
    <xf numFmtId="171" fontId="15" fillId="42" borderId="1" xfId="0" applyNumberFormat="1" applyFont="1" applyFill="1" applyBorder="1" applyAlignment="1">
      <alignment horizontal="left" vertical="center" wrapText="1"/>
    </xf>
    <xf numFmtId="171" fontId="15" fillId="42" borderId="5" xfId="0" applyNumberFormat="1" applyFont="1" applyFill="1" applyBorder="1" applyAlignment="1">
      <alignment horizontal="left" vertical="center" wrapText="1"/>
    </xf>
    <xf numFmtId="0" fontId="6" fillId="48" borderId="2" xfId="0" applyFont="1" applyFill="1" applyBorder="1" applyAlignment="1">
      <alignment horizontal="center" vertical="center"/>
    </xf>
    <xf numFmtId="170" fontId="9" fillId="0" borderId="3" xfId="9" applyNumberFormat="1" applyAlignment="1">
      <alignment horizontal="center" vertical="center"/>
    </xf>
    <xf numFmtId="0" fontId="6" fillId="6" borderId="2" xfId="0" applyFont="1" applyFill="1" applyBorder="1" applyAlignment="1">
      <alignment horizontal="center"/>
    </xf>
    <xf numFmtId="0" fontId="6" fillId="47" borderId="2" xfId="0" applyFont="1" applyFill="1" applyBorder="1" applyAlignment="1">
      <alignment horizontal="center" vertical="center"/>
    </xf>
    <xf numFmtId="0" fontId="6" fillId="7" borderId="2" xfId="0" applyFont="1" applyFill="1" applyBorder="1" applyAlignment="1">
      <alignment horizontal="center" vertical="center"/>
    </xf>
    <xf numFmtId="0" fontId="6" fillId="45" borderId="2" xfId="0" applyFont="1" applyFill="1" applyBorder="1" applyAlignment="1">
      <alignment horizontal="center" vertical="center"/>
    </xf>
    <xf numFmtId="0" fontId="0" fillId="0" borderId="10" xfId="0" applyBorder="1" applyAlignment="1">
      <alignment vertical="center"/>
    </xf>
    <xf numFmtId="0" fontId="0" fillId="0" borderId="18" xfId="0" applyBorder="1" applyAlignment="1">
      <alignment horizontal="center" vertical="center"/>
    </xf>
    <xf numFmtId="0" fontId="0" fillId="0" borderId="18" xfId="0" applyFill="1" applyBorder="1" applyAlignment="1">
      <alignment horizontal="center" vertical="center" wrapText="1"/>
    </xf>
    <xf numFmtId="0" fontId="9" fillId="49" borderId="2" xfId="12" applyFill="1" applyAlignment="1">
      <alignment horizontal="left" vertical="center" wrapText="1"/>
    </xf>
    <xf numFmtId="169" fontId="9" fillId="49" borderId="2" xfId="10" applyNumberFormat="1" applyFill="1" applyAlignment="1">
      <alignment horizontal="center" vertical="center"/>
    </xf>
    <xf numFmtId="0" fontId="6" fillId="50" borderId="2" xfId="0" applyFont="1" applyFill="1" applyBorder="1" applyAlignment="1">
      <alignment horizontal="center" vertical="center"/>
    </xf>
    <xf numFmtId="0" fontId="6" fillId="51" borderId="2" xfId="0" applyFont="1" applyFill="1" applyBorder="1" applyAlignment="1">
      <alignment horizontal="center" vertical="center"/>
    </xf>
    <xf numFmtId="0" fontId="9" fillId="8" borderId="2" xfId="12" applyFill="1" applyAlignment="1">
      <alignment horizontal="left" vertical="center" wrapText="1"/>
    </xf>
    <xf numFmtId="169" fontId="9" fillId="8" borderId="2" xfId="10" applyNumberFormat="1" applyFill="1" applyAlignment="1">
      <alignment horizontal="center" vertical="center"/>
    </xf>
    <xf numFmtId="0" fontId="6" fillId="52" borderId="2" xfId="0" applyFont="1" applyFill="1" applyBorder="1" applyAlignment="1">
      <alignment horizontal="center" vertical="center"/>
    </xf>
    <xf numFmtId="0" fontId="9" fillId="53" borderId="2" xfId="12" applyFill="1" applyAlignment="1">
      <alignment horizontal="left" vertical="center" wrapText="1"/>
    </xf>
    <xf numFmtId="169" fontId="9" fillId="53" borderId="2" xfId="10" applyNumberFormat="1" applyFill="1" applyAlignment="1">
      <alignment horizontal="center" vertical="center"/>
    </xf>
    <xf numFmtId="0" fontId="6" fillId="54" borderId="2" xfId="0" applyFont="1" applyFill="1" applyBorder="1" applyAlignment="1">
      <alignment horizontal="center" vertical="center"/>
    </xf>
    <xf numFmtId="0" fontId="9" fillId="55" borderId="2" xfId="12" applyFill="1" applyAlignment="1">
      <alignment horizontal="left" vertical="center" wrapText="1"/>
    </xf>
    <xf numFmtId="169" fontId="9" fillId="55" borderId="2" xfId="10" applyNumberFormat="1" applyFill="1" applyAlignment="1">
      <alignment horizontal="center" vertical="center"/>
    </xf>
    <xf numFmtId="0" fontId="6" fillId="55" borderId="2" xfId="0" applyFont="1" applyFill="1" applyBorder="1" applyAlignment="1">
      <alignment horizontal="center" vertical="center"/>
    </xf>
  </cellXfs>
  <cellStyles count="55">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00000000-0005-0000-0000-00001E000000}"/>
    <cellStyle name="Hipervínculo" xfId="1" builtinId="8" customBuiltin="1"/>
    <cellStyle name="Hipervínculo visitado" xfId="13" builtinId="9" customBuiltin="1"/>
    <cellStyle name="Incorrecto" xfId="19" builtinId="27" customBuiltin="1"/>
    <cellStyle name="Inicio del proyecto" xfId="9" xr:uid="{00000000-0005-0000-0000-000022000000}"/>
    <cellStyle name="Millares" xfId="4" builtinId="3" customBuiltin="1"/>
    <cellStyle name="Millares [0]" xfId="14" builtinId="6" customBuiltin="1"/>
    <cellStyle name="Moneda" xfId="15" builtinId="4" customBuiltin="1"/>
    <cellStyle name="Moneda [0]" xfId="16" builtinId="7" customBuiltin="1"/>
    <cellStyle name="Neutral" xfId="20" builtinId="28" customBuiltin="1"/>
    <cellStyle name="Nombre" xfId="11" xr:uid="{00000000-0005-0000-0000-000028000000}"/>
    <cellStyle name="Normal" xfId="0" builtinId="0" customBuiltin="1"/>
    <cellStyle name="Normal 2 2 2" xfId="54" xr:uid="{00000000-0005-0000-0000-00002A000000}"/>
    <cellStyle name="Notas" xfId="27" builtinId="10" customBuiltin="1"/>
    <cellStyle name="Porcentaje" xfId="2" builtinId="5" customBuiltin="1"/>
    <cellStyle name="Salida" xfId="22" builtinId="21" customBuiltin="1"/>
    <cellStyle name="Tarea" xfId="12" xr:uid="{00000000-0005-0000-0000-00002E000000}"/>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00000000-0005-0000-0000-000036000000}"/>
  </cellStyles>
  <dxfs count="14">
    <dxf>
      <fill>
        <patternFill>
          <bgColor rgb="FF00B0F0"/>
        </patternFill>
      </fill>
      <border>
        <left/>
        <right/>
      </border>
    </dxf>
    <dxf>
      <border>
        <left style="thin">
          <color rgb="FFC00000"/>
        </left>
        <right style="thin">
          <color rgb="FFC00000"/>
        </right>
        <vertical/>
        <horizontal/>
      </border>
    </dxf>
    <dxf>
      <fill>
        <patternFill>
          <bgColor rgb="FF00B050"/>
        </patternFill>
      </fill>
    </dxf>
    <dxf>
      <fill>
        <patternFill>
          <bgColor rgb="FF00B0F0"/>
        </patternFill>
      </fill>
      <border>
        <left/>
        <right/>
      </border>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13"/>
      <tableStyleElement type="headerRow" dxfId="12"/>
      <tableStyleElement type="totalRow" dxfId="11"/>
      <tableStyleElement type="firstColumn" dxfId="10"/>
      <tableStyleElement type="lastColumn" dxfId="9"/>
      <tableStyleElement type="firstRowStripe" dxfId="8"/>
      <tableStyleElement type="secondRowStripe" dxfId="7"/>
      <tableStyleElement type="firstColumnStripe" dxfId="6"/>
      <tableStyleElement type="secondColumnStripe" dxfId="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imagenes\plantillas\Libro-diario-exce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neudy/Pictures/plantillas/Hoja%20de%20balance.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RIO"/>
      <sheetName val="MAYOR"/>
      <sheetName val="BALANCE"/>
      <sheetName val="RESULTADO"/>
    </sheetNames>
    <sheetDataSet>
      <sheetData sheetId="0">
        <row r="12">
          <cell r="C12" t="str">
            <v>1.1.1.01</v>
          </cell>
          <cell r="F12">
            <v>5000</v>
          </cell>
        </row>
        <row r="13">
          <cell r="C13" t="str">
            <v>4.1.1.01</v>
          </cell>
          <cell r="G13">
            <v>5000</v>
          </cell>
        </row>
        <row r="14">
          <cell r="C14" t="str">
            <v>5.1.1.1</v>
          </cell>
          <cell r="F14">
            <v>4000</v>
          </cell>
        </row>
        <row r="15">
          <cell r="C15" t="str">
            <v>1.1.4.01</v>
          </cell>
          <cell r="G15">
            <v>4000</v>
          </cell>
        </row>
      </sheetData>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DESCARGA DE RESPONSABILIDAD"/>
    </sheetNames>
    <sheetDataSet>
      <sheetData sheetId="0"/>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W71"/>
  <sheetViews>
    <sheetView showGridLines="0" tabSelected="1" showRuler="0" zoomScale="85" zoomScaleNormal="85" zoomScalePageLayoutView="70" workbookViewId="0">
      <selection activeCell="C3" sqref="C3"/>
    </sheetView>
  </sheetViews>
  <sheetFormatPr baseColWidth="10" defaultColWidth="9.140625" defaultRowHeight="30" customHeight="1" x14ac:dyDescent="0.25"/>
  <cols>
    <col min="1" max="1" width="2.7109375" style="37" customWidth="1"/>
    <col min="2" max="2" width="11.5703125" style="38" customWidth="1"/>
    <col min="3" max="3" width="50.85546875" style="1" customWidth="1"/>
    <col min="4" max="4" width="30.140625" style="1" hidden="1" customWidth="1"/>
    <col min="5" max="5" width="4.7109375" style="1" hidden="1" customWidth="1"/>
    <col min="6" max="6" width="14.7109375" style="1" customWidth="1"/>
    <col min="7" max="7" width="9" style="38" customWidth="1"/>
    <col min="8" max="8" width="9" style="1" customWidth="1"/>
    <col min="9" max="9" width="2.7109375" style="1" customWidth="1"/>
    <col min="10" max="10" width="6.140625" style="1" hidden="1" customWidth="1"/>
    <col min="11" max="12" width="2.42578125" style="1" customWidth="1"/>
    <col min="13" max="14" width="2.42578125" style="1" bestFit="1" customWidth="1"/>
    <col min="15" max="15" width="2.140625" style="1" bestFit="1" customWidth="1"/>
    <col min="16" max="16" width="2.42578125" style="1" bestFit="1" customWidth="1"/>
    <col min="17" max="17" width="2.140625" style="1" bestFit="1" customWidth="1"/>
    <col min="18" max="19" width="2.42578125" style="1" bestFit="1" customWidth="1"/>
    <col min="20" max="20" width="3" style="1" bestFit="1" customWidth="1"/>
    <col min="21" max="21" width="2.7109375" style="1" bestFit="1" customWidth="1"/>
    <col min="22" max="24" width="3" style="1" bestFit="1" customWidth="1"/>
    <col min="25" max="25" width="2.85546875" style="1" bestFit="1" customWidth="1"/>
    <col min="26" max="26" width="3" style="1" bestFit="1" customWidth="1"/>
    <col min="27" max="27" width="2.85546875" style="1" bestFit="1" customWidth="1"/>
    <col min="28" max="29" width="3" style="1" bestFit="1" customWidth="1"/>
    <col min="30" max="30" width="3.42578125" style="1" bestFit="1" customWidth="1"/>
    <col min="31" max="31" width="3" style="1" bestFit="1" customWidth="1"/>
    <col min="32" max="34" width="3.42578125" style="1" bestFit="1" customWidth="1"/>
    <col min="35" max="35" width="3.140625" style="1" customWidth="1"/>
    <col min="36" max="36" width="3.42578125" style="1" bestFit="1" customWidth="1"/>
    <col min="37" max="37" width="3.140625" style="1" customWidth="1"/>
    <col min="38" max="40" width="3.42578125" style="1" bestFit="1" customWidth="1"/>
    <col min="41" max="41" width="3" style="1" bestFit="1" customWidth="1"/>
    <col min="42" max="42" width="2" style="1" bestFit="1" customWidth="1"/>
    <col min="43" max="45" width="2.42578125" style="1" bestFit="1" customWidth="1"/>
    <col min="46" max="46" width="2.140625" style="1" bestFit="1" customWidth="1"/>
    <col min="47" max="47" width="2.42578125" style="1" bestFit="1" customWidth="1"/>
    <col min="48" max="48" width="2.28515625" style="1" bestFit="1" customWidth="1"/>
    <col min="49" max="50" width="2.42578125" style="1" bestFit="1" customWidth="1"/>
    <col min="51" max="51" width="3" style="1" bestFit="1" customWidth="1"/>
    <col min="52" max="52" width="2.7109375" style="1" bestFit="1" customWidth="1"/>
    <col min="53" max="55" width="3" style="1" bestFit="1" customWidth="1"/>
    <col min="56" max="56" width="2.85546875" style="1" bestFit="1" customWidth="1"/>
    <col min="57" max="57" width="3" style="1" bestFit="1" customWidth="1"/>
    <col min="58" max="58" width="2.85546875" style="1" bestFit="1" customWidth="1"/>
    <col min="59" max="60" width="3" style="1" bestFit="1" customWidth="1"/>
    <col min="61" max="61" width="3.42578125" style="1" bestFit="1" customWidth="1"/>
    <col min="62" max="62" width="3" style="1" bestFit="1" customWidth="1"/>
    <col min="63" max="65" width="3.42578125" style="1" bestFit="1" customWidth="1"/>
    <col min="66" max="66" width="3.140625" style="1" customWidth="1"/>
    <col min="67" max="67" width="3.42578125" style="1" bestFit="1" customWidth="1"/>
    <col min="68" max="68" width="3.140625" style="1" customWidth="1"/>
    <col min="69" max="71" width="3.42578125" style="1" bestFit="1" customWidth="1"/>
    <col min="72" max="72" width="3" style="1" bestFit="1" customWidth="1"/>
    <col min="73" max="73" width="2" style="1" bestFit="1" customWidth="1"/>
    <col min="74" max="76" width="2.42578125" style="1" bestFit="1" customWidth="1"/>
    <col min="77" max="77" width="2.140625" style="1" bestFit="1" customWidth="1"/>
    <col min="78" max="78" width="2.42578125" style="1" bestFit="1" customWidth="1"/>
    <col min="79" max="79" width="2.140625" style="1" bestFit="1" customWidth="1"/>
    <col min="80" max="81" width="2.42578125" style="1" bestFit="1" customWidth="1"/>
    <col min="82" max="82" width="3" style="1" bestFit="1" customWidth="1"/>
    <col min="83" max="83" width="2.7109375" style="1" bestFit="1" customWidth="1"/>
    <col min="84" max="86" width="3" style="1" bestFit="1" customWidth="1"/>
    <col min="87" max="87" width="2.85546875" style="1" bestFit="1" customWidth="1"/>
    <col min="88" max="88" width="3" style="1" bestFit="1" customWidth="1"/>
    <col min="89" max="89" width="2.85546875" style="1" bestFit="1" customWidth="1"/>
    <col min="90" max="91" width="3" style="1" bestFit="1" customWidth="1"/>
    <col min="92" max="92" width="3.42578125" style="1" bestFit="1" customWidth="1"/>
    <col min="93" max="93" width="3" style="1" bestFit="1" customWidth="1"/>
    <col min="94" max="96" width="3.42578125" style="1" bestFit="1" customWidth="1"/>
    <col min="97" max="97" width="3.140625" style="1" customWidth="1"/>
    <col min="98" max="98" width="3.42578125" style="1" bestFit="1" customWidth="1"/>
    <col min="99" max="99" width="3.140625" style="1" customWidth="1"/>
    <col min="100" max="100" width="3.42578125" style="1" customWidth="1"/>
    <col min="101" max="101" width="2" style="1" bestFit="1" customWidth="1"/>
    <col min="102" max="16384" width="9.140625" style="1"/>
  </cols>
  <sheetData>
    <row r="1" spans="1:101" ht="30" customHeight="1" x14ac:dyDescent="0.25">
      <c r="A1" s="33" t="s">
        <v>0</v>
      </c>
      <c r="B1" s="29"/>
      <c r="C1" s="27" t="s">
        <v>16</v>
      </c>
      <c r="D1" s="34"/>
      <c r="E1" s="34"/>
      <c r="F1" s="35"/>
      <c r="G1" s="15"/>
      <c r="H1" s="15"/>
      <c r="J1" s="35"/>
      <c r="K1" s="36" t="s">
        <v>15</v>
      </c>
    </row>
    <row r="2" spans="1:101" ht="30" customHeight="1" x14ac:dyDescent="0.25">
      <c r="A2" s="37" t="s">
        <v>1</v>
      </c>
      <c r="B2" s="30"/>
      <c r="C2" s="25"/>
      <c r="D2" s="68" t="s">
        <v>9</v>
      </c>
      <c r="E2" s="68"/>
      <c r="F2" s="66" t="s">
        <v>9</v>
      </c>
      <c r="G2" s="84">
        <v>45992</v>
      </c>
      <c r="H2" s="84"/>
      <c r="K2" s="26" t="s">
        <v>17</v>
      </c>
    </row>
    <row r="3" spans="1:101" ht="30" customHeight="1" x14ac:dyDescent="0.25">
      <c r="A3" s="37" t="s">
        <v>2</v>
      </c>
      <c r="B3" s="31"/>
      <c r="D3" s="67" t="s">
        <v>74</v>
      </c>
      <c r="E3" s="67"/>
      <c r="F3" s="66" t="s">
        <v>74</v>
      </c>
      <c r="G3" s="84">
        <v>45931</v>
      </c>
      <c r="H3" s="84"/>
    </row>
    <row r="4" spans="1:101" ht="30" customHeight="1" x14ac:dyDescent="0.25">
      <c r="A4" s="33" t="s">
        <v>3</v>
      </c>
      <c r="D4" s="67" t="s">
        <v>10</v>
      </c>
      <c r="E4" s="67"/>
      <c r="F4" s="66" t="s">
        <v>107</v>
      </c>
      <c r="G4" s="3">
        <v>10</v>
      </c>
      <c r="K4" s="80">
        <f>K5</f>
        <v>45992</v>
      </c>
      <c r="L4" s="81"/>
      <c r="M4" s="81"/>
      <c r="N4" s="81"/>
      <c r="O4" s="81"/>
      <c r="P4" s="81"/>
      <c r="Q4" s="82"/>
      <c r="R4" s="80">
        <f>R5</f>
        <v>45999</v>
      </c>
      <c r="S4" s="81"/>
      <c r="T4" s="81"/>
      <c r="U4" s="81"/>
      <c r="V4" s="81"/>
      <c r="W4" s="81"/>
      <c r="X4" s="82"/>
      <c r="Y4" s="80">
        <f>Y5</f>
        <v>46006</v>
      </c>
      <c r="Z4" s="81"/>
      <c r="AA4" s="81"/>
      <c r="AB4" s="81"/>
      <c r="AC4" s="81"/>
      <c r="AD4" s="81"/>
      <c r="AE4" s="82"/>
      <c r="AF4" s="80">
        <f>AF5</f>
        <v>46013</v>
      </c>
      <c r="AG4" s="81"/>
      <c r="AH4" s="81"/>
      <c r="AI4" s="81"/>
      <c r="AJ4" s="81"/>
      <c r="AK4" s="81"/>
      <c r="AL4" s="82"/>
      <c r="AM4" s="80">
        <f>AM5</f>
        <v>46020</v>
      </c>
      <c r="AN4" s="81"/>
      <c r="AO4" s="81"/>
      <c r="AP4" s="81"/>
      <c r="AQ4" s="81"/>
      <c r="AR4" s="81"/>
      <c r="AS4" s="82"/>
      <c r="AT4" s="80">
        <f>AT5</f>
        <v>46027</v>
      </c>
      <c r="AU4" s="81"/>
      <c r="AV4" s="81"/>
      <c r="AW4" s="81"/>
      <c r="AX4" s="81"/>
      <c r="AY4" s="81"/>
      <c r="AZ4" s="82"/>
      <c r="BA4" s="80">
        <f>BA5</f>
        <v>46034</v>
      </c>
      <c r="BB4" s="81"/>
      <c r="BC4" s="81"/>
      <c r="BD4" s="81"/>
      <c r="BE4" s="81"/>
      <c r="BF4" s="81"/>
      <c r="BG4" s="82"/>
      <c r="BH4" s="80">
        <f>BH5</f>
        <v>46041</v>
      </c>
      <c r="BI4" s="81"/>
      <c r="BJ4" s="81"/>
      <c r="BK4" s="81"/>
      <c r="BL4" s="81"/>
      <c r="BM4" s="81"/>
      <c r="BN4" s="82"/>
      <c r="BO4" s="80">
        <f>BO5</f>
        <v>46048</v>
      </c>
      <c r="BP4" s="81"/>
      <c r="BQ4" s="81"/>
      <c r="BR4" s="81"/>
      <c r="BS4" s="81"/>
      <c r="BT4" s="81"/>
      <c r="BU4" s="82"/>
      <c r="BV4" s="80">
        <f>BV5</f>
        <v>46055</v>
      </c>
      <c r="BW4" s="81"/>
      <c r="BX4" s="81"/>
      <c r="BY4" s="81"/>
      <c r="BZ4" s="81"/>
      <c r="CA4" s="81"/>
      <c r="CB4" s="82"/>
      <c r="CC4" s="80">
        <f>CC5</f>
        <v>46062</v>
      </c>
      <c r="CD4" s="81"/>
      <c r="CE4" s="81"/>
      <c r="CF4" s="81"/>
      <c r="CG4" s="81"/>
      <c r="CH4" s="81"/>
      <c r="CI4" s="82"/>
      <c r="CJ4" s="80">
        <f>CJ5</f>
        <v>46069</v>
      </c>
      <c r="CK4" s="81"/>
      <c r="CL4" s="81"/>
      <c r="CM4" s="81"/>
      <c r="CN4" s="81"/>
      <c r="CO4" s="81"/>
      <c r="CP4" s="82"/>
      <c r="CQ4" s="80">
        <f>CQ5</f>
        <v>46076</v>
      </c>
      <c r="CR4" s="81"/>
      <c r="CS4" s="81"/>
      <c r="CT4" s="81"/>
      <c r="CU4" s="81"/>
      <c r="CV4" s="81"/>
      <c r="CW4" s="82"/>
    </row>
    <row r="5" spans="1:101" ht="15" customHeight="1" x14ac:dyDescent="0.25">
      <c r="A5" s="33" t="s">
        <v>4</v>
      </c>
      <c r="B5" s="40"/>
      <c r="C5" s="89"/>
      <c r="D5" s="89"/>
      <c r="E5" s="89"/>
      <c r="F5" s="89"/>
      <c r="G5" s="89"/>
      <c r="H5" s="89"/>
      <c r="I5" s="89"/>
      <c r="K5" s="20">
        <f>InicioDelProyecto-WEEKDAY(InicioDelProyecto,1)+2+7*(SemanaParaMostrar-1)</f>
        <v>45992</v>
      </c>
      <c r="L5" s="21">
        <f>K5+1</f>
        <v>45993</v>
      </c>
      <c r="M5" s="21">
        <f t="shared" ref="M5:AZ5" si="0">L5+1</f>
        <v>45994</v>
      </c>
      <c r="N5" s="21">
        <f t="shared" si="0"/>
        <v>45995</v>
      </c>
      <c r="O5" s="21">
        <f t="shared" si="0"/>
        <v>45996</v>
      </c>
      <c r="P5" s="21">
        <f t="shared" si="0"/>
        <v>45997</v>
      </c>
      <c r="Q5" s="22">
        <f t="shared" si="0"/>
        <v>45998</v>
      </c>
      <c r="R5" s="20">
        <f>Q5+1</f>
        <v>45999</v>
      </c>
      <c r="S5" s="21">
        <f>R5+1</f>
        <v>46000</v>
      </c>
      <c r="T5" s="21">
        <f t="shared" si="0"/>
        <v>46001</v>
      </c>
      <c r="U5" s="21">
        <f t="shared" si="0"/>
        <v>46002</v>
      </c>
      <c r="V5" s="21">
        <f t="shared" si="0"/>
        <v>46003</v>
      </c>
      <c r="W5" s="21">
        <f t="shared" si="0"/>
        <v>46004</v>
      </c>
      <c r="X5" s="22">
        <f t="shared" si="0"/>
        <v>46005</v>
      </c>
      <c r="Y5" s="20">
        <f>X5+1</f>
        <v>46006</v>
      </c>
      <c r="Z5" s="21">
        <f>Y5+1</f>
        <v>46007</v>
      </c>
      <c r="AA5" s="21">
        <f t="shared" si="0"/>
        <v>46008</v>
      </c>
      <c r="AB5" s="21">
        <f t="shared" si="0"/>
        <v>46009</v>
      </c>
      <c r="AC5" s="21">
        <f t="shared" si="0"/>
        <v>46010</v>
      </c>
      <c r="AD5" s="21">
        <f t="shared" si="0"/>
        <v>46011</v>
      </c>
      <c r="AE5" s="22">
        <f t="shared" si="0"/>
        <v>46012</v>
      </c>
      <c r="AF5" s="20">
        <f>AE5+1</f>
        <v>46013</v>
      </c>
      <c r="AG5" s="21">
        <f>AF5+1</f>
        <v>46014</v>
      </c>
      <c r="AH5" s="21">
        <f t="shared" si="0"/>
        <v>46015</v>
      </c>
      <c r="AI5" s="21">
        <f t="shared" si="0"/>
        <v>46016</v>
      </c>
      <c r="AJ5" s="21">
        <f t="shared" si="0"/>
        <v>46017</v>
      </c>
      <c r="AK5" s="21">
        <f t="shared" si="0"/>
        <v>46018</v>
      </c>
      <c r="AL5" s="22">
        <f t="shared" si="0"/>
        <v>46019</v>
      </c>
      <c r="AM5" s="20">
        <f>AL5+1</f>
        <v>46020</v>
      </c>
      <c r="AN5" s="21">
        <f>AM5+1</f>
        <v>46021</v>
      </c>
      <c r="AO5" s="21">
        <f t="shared" si="0"/>
        <v>46022</v>
      </c>
      <c r="AP5" s="21">
        <f t="shared" si="0"/>
        <v>46023</v>
      </c>
      <c r="AQ5" s="21">
        <f t="shared" si="0"/>
        <v>46024</v>
      </c>
      <c r="AR5" s="21">
        <f t="shared" si="0"/>
        <v>46025</v>
      </c>
      <c r="AS5" s="22">
        <f t="shared" si="0"/>
        <v>46026</v>
      </c>
      <c r="AT5" s="20">
        <f>AS5+1</f>
        <v>46027</v>
      </c>
      <c r="AU5" s="21">
        <f>AT5+1</f>
        <v>46028</v>
      </c>
      <c r="AV5" s="21">
        <f t="shared" si="0"/>
        <v>46029</v>
      </c>
      <c r="AW5" s="21">
        <f>AV5+1</f>
        <v>46030</v>
      </c>
      <c r="AX5" s="21">
        <f t="shared" si="0"/>
        <v>46031</v>
      </c>
      <c r="AY5" s="21">
        <f t="shared" si="0"/>
        <v>46032</v>
      </c>
      <c r="AZ5" s="22">
        <f t="shared" si="0"/>
        <v>46033</v>
      </c>
      <c r="BA5" s="20">
        <f>AZ5+1</f>
        <v>46034</v>
      </c>
      <c r="BB5" s="21">
        <f>BA5+1</f>
        <v>46035</v>
      </c>
      <c r="BC5" s="21">
        <f t="shared" ref="BC5:BG5" si="1">BB5+1</f>
        <v>46036</v>
      </c>
      <c r="BD5" s="21">
        <f t="shared" si="1"/>
        <v>46037</v>
      </c>
      <c r="BE5" s="21">
        <f t="shared" si="1"/>
        <v>46038</v>
      </c>
      <c r="BF5" s="21">
        <f t="shared" si="1"/>
        <v>46039</v>
      </c>
      <c r="BG5" s="22">
        <f t="shared" si="1"/>
        <v>46040</v>
      </c>
      <c r="BH5" s="20">
        <f>BG5+1</f>
        <v>46041</v>
      </c>
      <c r="BI5" s="21">
        <f>BH5+1</f>
        <v>46042</v>
      </c>
      <c r="BJ5" s="21">
        <f t="shared" ref="BJ5:BN5" si="2">BI5+1</f>
        <v>46043</v>
      </c>
      <c r="BK5" s="21">
        <f t="shared" si="2"/>
        <v>46044</v>
      </c>
      <c r="BL5" s="21">
        <f t="shared" si="2"/>
        <v>46045</v>
      </c>
      <c r="BM5" s="21">
        <f t="shared" si="2"/>
        <v>46046</v>
      </c>
      <c r="BN5" s="22">
        <f t="shared" si="2"/>
        <v>46047</v>
      </c>
      <c r="BO5" s="20">
        <f>BN5+1</f>
        <v>46048</v>
      </c>
      <c r="BP5" s="21">
        <f>BO5+1</f>
        <v>46049</v>
      </c>
      <c r="BQ5" s="21">
        <f t="shared" ref="BQ5" si="3">BP5+1</f>
        <v>46050</v>
      </c>
      <c r="BR5" s="21">
        <f t="shared" ref="BR5" si="4">BQ5+1</f>
        <v>46051</v>
      </c>
      <c r="BS5" s="21">
        <f t="shared" ref="BS5" si="5">BR5+1</f>
        <v>46052</v>
      </c>
      <c r="BT5" s="21">
        <f t="shared" ref="BT5" si="6">BS5+1</f>
        <v>46053</v>
      </c>
      <c r="BU5" s="22">
        <f t="shared" ref="BU5" si="7">BT5+1</f>
        <v>46054</v>
      </c>
      <c r="BV5" s="20">
        <f>BU5+1</f>
        <v>46055</v>
      </c>
      <c r="BW5" s="21">
        <f>BV5+1</f>
        <v>46056</v>
      </c>
      <c r="BX5" s="21">
        <f t="shared" ref="BX5" si="8">BW5+1</f>
        <v>46057</v>
      </c>
      <c r="BY5" s="21">
        <f t="shared" ref="BY5" si="9">BX5+1</f>
        <v>46058</v>
      </c>
      <c r="BZ5" s="21">
        <f t="shared" ref="BZ5" si="10">BY5+1</f>
        <v>46059</v>
      </c>
      <c r="CA5" s="21">
        <f t="shared" ref="CA5" si="11">BZ5+1</f>
        <v>46060</v>
      </c>
      <c r="CB5" s="22">
        <f t="shared" ref="CB5" si="12">CA5+1</f>
        <v>46061</v>
      </c>
      <c r="CC5" s="20">
        <f>CB5+1</f>
        <v>46062</v>
      </c>
      <c r="CD5" s="21">
        <f>CC5+1</f>
        <v>46063</v>
      </c>
      <c r="CE5" s="21">
        <f t="shared" ref="CE5" si="13">CD5+1</f>
        <v>46064</v>
      </c>
      <c r="CF5" s="21">
        <f t="shared" ref="CF5" si="14">CE5+1</f>
        <v>46065</v>
      </c>
      <c r="CG5" s="21">
        <f t="shared" ref="CG5" si="15">CF5+1</f>
        <v>46066</v>
      </c>
      <c r="CH5" s="21">
        <f t="shared" ref="CH5" si="16">CG5+1</f>
        <v>46067</v>
      </c>
      <c r="CI5" s="22">
        <f t="shared" ref="CI5" si="17">CH5+1</f>
        <v>46068</v>
      </c>
      <c r="CJ5" s="20">
        <f>CI5+1</f>
        <v>46069</v>
      </c>
      <c r="CK5" s="21">
        <f>CJ5+1</f>
        <v>46070</v>
      </c>
      <c r="CL5" s="21">
        <f t="shared" ref="CL5" si="18">CK5+1</f>
        <v>46071</v>
      </c>
      <c r="CM5" s="21">
        <f t="shared" ref="CM5" si="19">CL5+1</f>
        <v>46072</v>
      </c>
      <c r="CN5" s="21">
        <f t="shared" ref="CN5" si="20">CM5+1</f>
        <v>46073</v>
      </c>
      <c r="CO5" s="21">
        <f t="shared" ref="CO5" si="21">CN5+1</f>
        <v>46074</v>
      </c>
      <c r="CP5" s="22">
        <f t="shared" ref="CP5" si="22">CO5+1</f>
        <v>46075</v>
      </c>
      <c r="CQ5" s="20">
        <f>CP5+1</f>
        <v>46076</v>
      </c>
      <c r="CR5" s="21">
        <f>CQ5+1</f>
        <v>46077</v>
      </c>
      <c r="CS5" s="21">
        <f t="shared" ref="CS5" si="23">CR5+1</f>
        <v>46078</v>
      </c>
      <c r="CT5" s="21">
        <f t="shared" ref="CT5" si="24">CS5+1</f>
        <v>46079</v>
      </c>
      <c r="CU5" s="21">
        <f t="shared" ref="CU5" si="25">CT5+1</f>
        <v>46080</v>
      </c>
      <c r="CV5" s="21">
        <f t="shared" ref="CV5" si="26">CU5+1</f>
        <v>46081</v>
      </c>
      <c r="CW5" s="22">
        <f t="shared" ref="CW5" si="27">CV5+1</f>
        <v>46082</v>
      </c>
    </row>
    <row r="6" spans="1:101" ht="30" customHeight="1" thickBot="1" x14ac:dyDescent="0.3">
      <c r="A6" s="33" t="s">
        <v>5</v>
      </c>
      <c r="B6" s="32" t="s">
        <v>55</v>
      </c>
      <c r="C6" s="32" t="s">
        <v>7</v>
      </c>
      <c r="D6" s="18" t="s">
        <v>59</v>
      </c>
      <c r="E6" s="18" t="s">
        <v>27</v>
      </c>
      <c r="F6" s="18" t="s">
        <v>11</v>
      </c>
      <c r="G6" s="18" t="s">
        <v>12</v>
      </c>
      <c r="H6" s="18" t="s">
        <v>13</v>
      </c>
      <c r="I6" s="18"/>
      <c r="J6" s="18" t="s">
        <v>14</v>
      </c>
      <c r="K6" s="19" t="str">
        <f t="shared" ref="K6" si="28">LEFT(TEXT(K5,"ddd"),1)</f>
        <v>l</v>
      </c>
      <c r="L6" s="19" t="str">
        <f t="shared" ref="L6:AT6" si="29">LEFT(TEXT(L5,"ddd"),1)</f>
        <v>m</v>
      </c>
      <c r="M6" s="19" t="str">
        <f t="shared" si="29"/>
        <v>m</v>
      </c>
      <c r="N6" s="19" t="str">
        <f t="shared" si="29"/>
        <v>j</v>
      </c>
      <c r="O6" s="19" t="str">
        <f t="shared" si="29"/>
        <v>v</v>
      </c>
      <c r="P6" s="19" t="str">
        <f t="shared" si="29"/>
        <v>s</v>
      </c>
      <c r="Q6" s="19" t="str">
        <f t="shared" si="29"/>
        <v>d</v>
      </c>
      <c r="R6" s="19" t="str">
        <f t="shared" si="29"/>
        <v>l</v>
      </c>
      <c r="S6" s="19" t="str">
        <f t="shared" si="29"/>
        <v>m</v>
      </c>
      <c r="T6" s="19" t="str">
        <f t="shared" si="29"/>
        <v>m</v>
      </c>
      <c r="U6" s="19" t="str">
        <f t="shared" si="29"/>
        <v>j</v>
      </c>
      <c r="V6" s="19" t="str">
        <f t="shared" si="29"/>
        <v>v</v>
      </c>
      <c r="W6" s="19" t="str">
        <f t="shared" si="29"/>
        <v>s</v>
      </c>
      <c r="X6" s="19" t="str">
        <f t="shared" si="29"/>
        <v>d</v>
      </c>
      <c r="Y6" s="19" t="str">
        <f t="shared" si="29"/>
        <v>l</v>
      </c>
      <c r="Z6" s="19" t="str">
        <f t="shared" si="29"/>
        <v>m</v>
      </c>
      <c r="AA6" s="19" t="str">
        <f t="shared" si="29"/>
        <v>m</v>
      </c>
      <c r="AB6" s="19" t="str">
        <f t="shared" si="29"/>
        <v>j</v>
      </c>
      <c r="AC6" s="19" t="str">
        <f t="shared" si="29"/>
        <v>v</v>
      </c>
      <c r="AD6" s="19" t="str">
        <f t="shared" si="29"/>
        <v>s</v>
      </c>
      <c r="AE6" s="19" t="str">
        <f t="shared" si="29"/>
        <v>d</v>
      </c>
      <c r="AF6" s="19" t="str">
        <f t="shared" si="29"/>
        <v>l</v>
      </c>
      <c r="AG6" s="19" t="str">
        <f t="shared" si="29"/>
        <v>m</v>
      </c>
      <c r="AH6" s="19" t="str">
        <f t="shared" si="29"/>
        <v>m</v>
      </c>
      <c r="AI6" s="19" t="str">
        <f t="shared" si="29"/>
        <v>j</v>
      </c>
      <c r="AJ6" s="19" t="str">
        <f t="shared" si="29"/>
        <v>v</v>
      </c>
      <c r="AK6" s="19" t="str">
        <f t="shared" si="29"/>
        <v>s</v>
      </c>
      <c r="AL6" s="19" t="str">
        <f t="shared" si="29"/>
        <v>d</v>
      </c>
      <c r="AM6" s="19" t="str">
        <f t="shared" si="29"/>
        <v>l</v>
      </c>
      <c r="AN6" s="19" t="str">
        <f t="shared" si="29"/>
        <v>m</v>
      </c>
      <c r="AO6" s="19" t="str">
        <f t="shared" si="29"/>
        <v>m</v>
      </c>
      <c r="AP6" s="19" t="str">
        <f t="shared" si="29"/>
        <v>j</v>
      </c>
      <c r="AQ6" s="19" t="str">
        <f t="shared" si="29"/>
        <v>v</v>
      </c>
      <c r="AR6" s="19" t="str">
        <f t="shared" si="29"/>
        <v>s</v>
      </c>
      <c r="AS6" s="19" t="str">
        <f t="shared" si="29"/>
        <v>d</v>
      </c>
      <c r="AT6" s="19" t="str">
        <f t="shared" si="29"/>
        <v>l</v>
      </c>
      <c r="AU6" s="19" t="str">
        <f t="shared" ref="AU6:BN6" si="30">LEFT(TEXT(AU5,"ddd"),1)</f>
        <v>m</v>
      </c>
      <c r="AV6" s="19" t="str">
        <f t="shared" si="30"/>
        <v>m</v>
      </c>
      <c r="AW6" s="19" t="str">
        <f t="shared" si="30"/>
        <v>j</v>
      </c>
      <c r="AX6" s="19" t="str">
        <f t="shared" si="30"/>
        <v>v</v>
      </c>
      <c r="AY6" s="19" t="str">
        <f t="shared" si="30"/>
        <v>s</v>
      </c>
      <c r="AZ6" s="19" t="str">
        <f t="shared" si="30"/>
        <v>d</v>
      </c>
      <c r="BA6" s="19" t="str">
        <f t="shared" si="30"/>
        <v>l</v>
      </c>
      <c r="BB6" s="19" t="str">
        <f t="shared" si="30"/>
        <v>m</v>
      </c>
      <c r="BC6" s="19" t="str">
        <f t="shared" si="30"/>
        <v>m</v>
      </c>
      <c r="BD6" s="19" t="str">
        <f t="shared" si="30"/>
        <v>j</v>
      </c>
      <c r="BE6" s="19" t="str">
        <f t="shared" si="30"/>
        <v>v</v>
      </c>
      <c r="BF6" s="19" t="str">
        <f t="shared" si="30"/>
        <v>s</v>
      </c>
      <c r="BG6" s="19" t="str">
        <f t="shared" si="30"/>
        <v>d</v>
      </c>
      <c r="BH6" s="19" t="str">
        <f t="shared" si="30"/>
        <v>l</v>
      </c>
      <c r="BI6" s="19" t="str">
        <f t="shared" si="30"/>
        <v>m</v>
      </c>
      <c r="BJ6" s="19" t="str">
        <f t="shared" si="30"/>
        <v>m</v>
      </c>
      <c r="BK6" s="19" t="str">
        <f t="shared" si="30"/>
        <v>j</v>
      </c>
      <c r="BL6" s="19" t="str">
        <f t="shared" si="30"/>
        <v>v</v>
      </c>
      <c r="BM6" s="19" t="str">
        <f t="shared" si="30"/>
        <v>s</v>
      </c>
      <c r="BN6" s="19" t="str">
        <f t="shared" si="30"/>
        <v>d</v>
      </c>
      <c r="BO6" s="19" t="str">
        <f t="shared" ref="BO6:BU6" si="31">LEFT(TEXT(BO5,"ddd"),1)</f>
        <v>l</v>
      </c>
      <c r="BP6" s="19" t="str">
        <f t="shared" si="31"/>
        <v>m</v>
      </c>
      <c r="BQ6" s="19" t="str">
        <f t="shared" si="31"/>
        <v>m</v>
      </c>
      <c r="BR6" s="19" t="str">
        <f t="shared" si="31"/>
        <v>j</v>
      </c>
      <c r="BS6" s="19" t="str">
        <f t="shared" si="31"/>
        <v>v</v>
      </c>
      <c r="BT6" s="19" t="str">
        <f t="shared" si="31"/>
        <v>s</v>
      </c>
      <c r="BU6" s="19" t="str">
        <f t="shared" si="31"/>
        <v>d</v>
      </c>
      <c r="BV6" s="19" t="str">
        <f t="shared" ref="BV6:CI6" si="32">LEFT(TEXT(BV5,"ddd"),1)</f>
        <v>l</v>
      </c>
      <c r="BW6" s="19" t="str">
        <f t="shared" si="32"/>
        <v>m</v>
      </c>
      <c r="BX6" s="19" t="str">
        <f t="shared" si="32"/>
        <v>m</v>
      </c>
      <c r="BY6" s="19" t="str">
        <f t="shared" si="32"/>
        <v>j</v>
      </c>
      <c r="BZ6" s="19" t="str">
        <f t="shared" si="32"/>
        <v>v</v>
      </c>
      <c r="CA6" s="19" t="str">
        <f t="shared" si="32"/>
        <v>s</v>
      </c>
      <c r="CB6" s="19" t="str">
        <f t="shared" si="32"/>
        <v>d</v>
      </c>
      <c r="CC6" s="19" t="str">
        <f t="shared" si="32"/>
        <v>l</v>
      </c>
      <c r="CD6" s="19" t="str">
        <f t="shared" si="32"/>
        <v>m</v>
      </c>
      <c r="CE6" s="19" t="str">
        <f t="shared" si="32"/>
        <v>m</v>
      </c>
      <c r="CF6" s="19" t="str">
        <f t="shared" si="32"/>
        <v>j</v>
      </c>
      <c r="CG6" s="19" t="str">
        <f t="shared" si="32"/>
        <v>v</v>
      </c>
      <c r="CH6" s="19" t="str">
        <f t="shared" si="32"/>
        <v>s</v>
      </c>
      <c r="CI6" s="19" t="str">
        <f t="shared" si="32"/>
        <v>d</v>
      </c>
      <c r="CJ6" s="19" t="str">
        <f t="shared" ref="CJ6:CP6" si="33">LEFT(TEXT(CJ5,"ddd"),1)</f>
        <v>l</v>
      </c>
      <c r="CK6" s="19" t="str">
        <f t="shared" si="33"/>
        <v>m</v>
      </c>
      <c r="CL6" s="19" t="str">
        <f t="shared" si="33"/>
        <v>m</v>
      </c>
      <c r="CM6" s="19" t="str">
        <f t="shared" si="33"/>
        <v>j</v>
      </c>
      <c r="CN6" s="19" t="str">
        <f t="shared" si="33"/>
        <v>v</v>
      </c>
      <c r="CO6" s="19" t="str">
        <f t="shared" si="33"/>
        <v>s</v>
      </c>
      <c r="CP6" s="19" t="str">
        <f t="shared" si="33"/>
        <v>d</v>
      </c>
      <c r="CQ6" s="19" t="str">
        <f t="shared" ref="CQ6:CW6" si="34">LEFT(TEXT(CQ5,"ddd"),1)</f>
        <v>l</v>
      </c>
      <c r="CR6" s="19" t="str">
        <f t="shared" si="34"/>
        <v>m</v>
      </c>
      <c r="CS6" s="19" t="str">
        <f t="shared" si="34"/>
        <v>m</v>
      </c>
      <c r="CT6" s="19" t="str">
        <f t="shared" si="34"/>
        <v>j</v>
      </c>
      <c r="CU6" s="19" t="str">
        <f t="shared" si="34"/>
        <v>v</v>
      </c>
      <c r="CV6" s="19" t="str">
        <f t="shared" si="34"/>
        <v>s</v>
      </c>
      <c r="CW6" s="19" t="str">
        <f t="shared" si="34"/>
        <v>d</v>
      </c>
    </row>
    <row r="7" spans="1:101" ht="16.5" hidden="1" customHeight="1" thickBot="1" x14ac:dyDescent="0.3">
      <c r="A7" s="37" t="s">
        <v>6</v>
      </c>
      <c r="D7" s="41"/>
      <c r="E7" s="41"/>
      <c r="G7" s="1"/>
      <c r="J7" s="1" t="str">
        <f>IF(OR(ISBLANK(Fecha_incio),ISBLANK(Fecha_final)),"",Fecha_final-Fecha_incio+1)</f>
        <v/>
      </c>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row>
    <row r="8" spans="1:101" ht="15.75" thickBot="1" x14ac:dyDescent="0.3">
      <c r="A8" s="33"/>
      <c r="B8" s="87" t="s">
        <v>108</v>
      </c>
      <c r="C8" s="87"/>
      <c r="D8" s="87"/>
      <c r="E8" s="87"/>
      <c r="F8" s="87"/>
      <c r="G8" s="87"/>
      <c r="H8" s="87"/>
      <c r="I8" s="4"/>
      <c r="J8" s="4" t="str">
        <f t="shared" ref="J8:J67" si="35">IF(OR(ISBLANK(Fecha_incio),ISBLANK(Fecha_final)),"",Fecha_final-Fecha_incio+1)</f>
        <v/>
      </c>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row>
    <row r="9" spans="1:101" ht="15.75" thickBot="1" x14ac:dyDescent="0.3">
      <c r="A9" s="33"/>
      <c r="B9" s="28" t="s">
        <v>58</v>
      </c>
      <c r="C9" s="70" t="s">
        <v>109</v>
      </c>
      <c r="D9" s="44"/>
      <c r="E9" s="44"/>
      <c r="F9" s="5">
        <v>1</v>
      </c>
      <c r="G9" s="45">
        <f>G2</f>
        <v>45992</v>
      </c>
      <c r="H9" s="45">
        <f>G9+1</f>
        <v>45993</v>
      </c>
      <c r="I9" s="4"/>
      <c r="J9" s="4">
        <f t="shared" si="35"/>
        <v>2</v>
      </c>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row>
    <row r="10" spans="1:101" ht="15.75" thickBot="1" x14ac:dyDescent="0.3">
      <c r="A10" s="33"/>
      <c r="B10" s="28" t="s">
        <v>58</v>
      </c>
      <c r="C10" s="70" t="s">
        <v>110</v>
      </c>
      <c r="D10" s="44" t="s">
        <v>34</v>
      </c>
      <c r="E10" s="44"/>
      <c r="F10" s="5">
        <v>1</v>
      </c>
      <c r="G10" s="45">
        <f>H9+1</f>
        <v>45994</v>
      </c>
      <c r="H10" s="45">
        <f>G10+1</f>
        <v>45995</v>
      </c>
      <c r="I10" s="4"/>
      <c r="J10" s="4"/>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row>
    <row r="11" spans="1:101" ht="15.75" thickBot="1" x14ac:dyDescent="0.3">
      <c r="A11" s="33"/>
      <c r="B11" s="56" t="s">
        <v>60</v>
      </c>
      <c r="C11" s="70" t="s">
        <v>111</v>
      </c>
      <c r="D11" s="44" t="s">
        <v>39</v>
      </c>
      <c r="E11" s="44" t="s">
        <v>40</v>
      </c>
      <c r="F11" s="5">
        <v>1</v>
      </c>
      <c r="G11" s="45">
        <f>H10+1</f>
        <v>45996</v>
      </c>
      <c r="H11" s="45">
        <f>G11+1</f>
        <v>45997</v>
      </c>
      <c r="I11" s="4"/>
      <c r="J11" s="4"/>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row>
    <row r="12" spans="1:101" ht="15.75" thickBot="1" x14ac:dyDescent="0.3">
      <c r="A12" s="33"/>
      <c r="B12" s="86" t="s">
        <v>112</v>
      </c>
      <c r="C12" s="86"/>
      <c r="D12" s="86"/>
      <c r="E12" s="86"/>
      <c r="F12" s="86"/>
      <c r="G12" s="86"/>
      <c r="H12" s="86"/>
      <c r="I12" s="4"/>
      <c r="J12" s="4" t="str">
        <f t="shared" si="35"/>
        <v/>
      </c>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row>
    <row r="13" spans="1:101" ht="15.75" thickBot="1" x14ac:dyDescent="0.3">
      <c r="A13" s="33"/>
      <c r="B13" s="28" t="s">
        <v>58</v>
      </c>
      <c r="C13" s="75" t="s">
        <v>114</v>
      </c>
      <c r="D13" s="44"/>
      <c r="E13" s="44"/>
      <c r="F13" s="5">
        <v>1</v>
      </c>
      <c r="G13" s="76">
        <f>H11+1</f>
        <v>45998</v>
      </c>
      <c r="H13" s="76">
        <f>G13+1</f>
        <v>45999</v>
      </c>
      <c r="I13" s="4"/>
      <c r="J13" s="4">
        <f t="shared" si="35"/>
        <v>2</v>
      </c>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c r="CJ13" s="12"/>
      <c r="CK13" s="12"/>
      <c r="CL13" s="12"/>
      <c r="CM13" s="12"/>
      <c r="CN13" s="12"/>
      <c r="CO13" s="12"/>
      <c r="CP13" s="12"/>
      <c r="CQ13" s="12"/>
      <c r="CR13" s="12"/>
      <c r="CS13" s="12"/>
      <c r="CT13" s="12"/>
      <c r="CU13" s="12"/>
      <c r="CV13" s="12"/>
      <c r="CW13" s="12"/>
    </row>
    <row r="14" spans="1:101" ht="15.75" thickBot="1" x14ac:dyDescent="0.3">
      <c r="A14" s="33"/>
      <c r="B14" s="56" t="s">
        <v>60</v>
      </c>
      <c r="C14" s="75" t="s">
        <v>113</v>
      </c>
      <c r="D14" s="44" t="s">
        <v>34</v>
      </c>
      <c r="E14" s="44"/>
      <c r="F14" s="5">
        <v>1</v>
      </c>
      <c r="G14" s="76">
        <f>H13+1</f>
        <v>46000</v>
      </c>
      <c r="H14" s="76">
        <f>G14+1</f>
        <v>46001</v>
      </c>
      <c r="I14" s="4"/>
      <c r="J14" s="4"/>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c r="CV14" s="12"/>
      <c r="CW14" s="12"/>
    </row>
    <row r="15" spans="1:101" ht="15.75" thickBot="1" x14ac:dyDescent="0.3">
      <c r="A15" s="33"/>
      <c r="B15" s="56" t="s">
        <v>60</v>
      </c>
      <c r="C15" s="75" t="s">
        <v>115</v>
      </c>
      <c r="D15" s="44" t="s">
        <v>39</v>
      </c>
      <c r="E15" s="44" t="s">
        <v>40</v>
      </c>
      <c r="F15" s="5">
        <v>1</v>
      </c>
      <c r="G15" s="76">
        <f>H14+1</f>
        <v>46002</v>
      </c>
      <c r="H15" s="76">
        <f>G15+1</f>
        <v>46003</v>
      </c>
      <c r="I15" s="4"/>
      <c r="J15" s="4"/>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c r="CI15" s="12"/>
      <c r="CJ15" s="12"/>
      <c r="CK15" s="12"/>
      <c r="CL15" s="12"/>
      <c r="CM15" s="12"/>
      <c r="CN15" s="12"/>
      <c r="CO15" s="12"/>
      <c r="CP15" s="12"/>
      <c r="CQ15" s="12"/>
      <c r="CR15" s="12"/>
      <c r="CS15" s="12"/>
      <c r="CT15" s="12"/>
      <c r="CU15" s="12"/>
      <c r="CV15" s="12"/>
      <c r="CW15" s="12"/>
    </row>
    <row r="16" spans="1:101" ht="15.75" thickBot="1" x14ac:dyDescent="0.3">
      <c r="A16" s="33"/>
      <c r="B16" s="57" t="s">
        <v>19</v>
      </c>
      <c r="C16" s="57"/>
      <c r="D16" s="58"/>
      <c r="E16" s="58"/>
      <c r="F16" s="59"/>
      <c r="G16" s="60"/>
      <c r="H16" s="61"/>
      <c r="I16" s="4"/>
      <c r="J16" s="4"/>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c r="CJ16" s="12"/>
      <c r="CK16" s="12"/>
      <c r="CL16" s="12"/>
      <c r="CM16" s="12"/>
      <c r="CN16" s="12"/>
      <c r="CO16" s="12"/>
      <c r="CP16" s="12"/>
      <c r="CQ16" s="12"/>
      <c r="CR16" s="12"/>
      <c r="CS16" s="12"/>
      <c r="CT16" s="12"/>
      <c r="CU16" s="12"/>
      <c r="CV16" s="12"/>
      <c r="CW16" s="12"/>
    </row>
    <row r="17" spans="1:101" ht="15.75" thickBot="1" x14ac:dyDescent="0.3">
      <c r="A17" s="33"/>
      <c r="B17" s="28" t="s">
        <v>58</v>
      </c>
      <c r="C17" s="69" t="s">
        <v>51</v>
      </c>
      <c r="D17" s="42"/>
      <c r="E17" s="42"/>
      <c r="F17" s="6">
        <v>1</v>
      </c>
      <c r="G17" s="43">
        <f>H15+1</f>
        <v>46004</v>
      </c>
      <c r="H17" s="43">
        <f>G17+1</f>
        <v>46005</v>
      </c>
      <c r="I17" s="4"/>
      <c r="J17" s="4">
        <f t="shared" si="35"/>
        <v>2</v>
      </c>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12"/>
      <c r="CR17" s="12"/>
      <c r="CS17" s="12"/>
      <c r="CT17" s="12"/>
      <c r="CU17" s="12"/>
      <c r="CV17" s="12"/>
      <c r="CW17" s="12"/>
    </row>
    <row r="18" spans="1:101" ht="15.75" thickBot="1" x14ac:dyDescent="0.3">
      <c r="B18" s="56" t="s">
        <v>60</v>
      </c>
      <c r="C18" s="69" t="s">
        <v>24</v>
      </c>
      <c r="D18" s="42"/>
      <c r="E18" s="42"/>
      <c r="F18" s="6">
        <v>1</v>
      </c>
      <c r="G18" s="43">
        <f>G17+2</f>
        <v>46006</v>
      </c>
      <c r="H18" s="43">
        <f>G18+1</f>
        <v>46007</v>
      </c>
      <c r="I18" s="4"/>
      <c r="J18" s="4">
        <f t="shared" si="35"/>
        <v>2</v>
      </c>
      <c r="K18" s="12"/>
      <c r="L18" s="12"/>
      <c r="M18" s="12"/>
      <c r="N18" s="12"/>
      <c r="O18" s="12"/>
      <c r="P18" s="12"/>
      <c r="Q18" s="12"/>
      <c r="R18" s="12"/>
      <c r="S18" s="12"/>
      <c r="T18" s="12"/>
      <c r="U18" s="12"/>
      <c r="V18" s="12"/>
      <c r="W18" s="13"/>
      <c r="X18" s="13"/>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2"/>
    </row>
    <row r="19" spans="1:101" ht="15.75" thickBot="1" x14ac:dyDescent="0.3">
      <c r="B19" s="55" t="s">
        <v>61</v>
      </c>
      <c r="C19" s="69" t="s">
        <v>52</v>
      </c>
      <c r="D19" s="42"/>
      <c r="E19" s="42"/>
      <c r="F19" s="6">
        <v>1</v>
      </c>
      <c r="G19" s="43">
        <f>H18+1</f>
        <v>46008</v>
      </c>
      <c r="H19" s="43">
        <f>G19+1</f>
        <v>46009</v>
      </c>
      <c r="I19" s="4"/>
      <c r="J19" s="4">
        <f t="shared" si="35"/>
        <v>2</v>
      </c>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2"/>
    </row>
    <row r="20" spans="1:101" ht="15.75" thickBot="1" x14ac:dyDescent="0.3">
      <c r="B20" s="55" t="s">
        <v>61</v>
      </c>
      <c r="C20" s="69" t="s">
        <v>53</v>
      </c>
      <c r="D20" s="42"/>
      <c r="E20" s="42"/>
      <c r="F20" s="6">
        <v>1</v>
      </c>
      <c r="G20" s="43">
        <f>H19+1</f>
        <v>46010</v>
      </c>
      <c r="H20" s="43">
        <f>G20+1</f>
        <v>46011</v>
      </c>
      <c r="I20" s="4"/>
      <c r="J20" s="4">
        <f t="shared" si="35"/>
        <v>2</v>
      </c>
      <c r="K20" s="12"/>
      <c r="L20" s="12"/>
      <c r="M20" s="12"/>
      <c r="N20" s="12"/>
      <c r="O20" s="12"/>
      <c r="P20" s="12"/>
      <c r="Q20" s="12"/>
      <c r="R20" s="12"/>
      <c r="S20" s="12"/>
      <c r="T20" s="12"/>
      <c r="U20" s="12"/>
      <c r="V20" s="12"/>
      <c r="W20" s="12"/>
      <c r="X20" s="12"/>
      <c r="Y20" s="12"/>
      <c r="Z20" s="12"/>
      <c r="AA20" s="13"/>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c r="CI20" s="12"/>
      <c r="CJ20" s="12"/>
      <c r="CK20" s="12"/>
      <c r="CL20" s="12"/>
      <c r="CM20" s="12"/>
      <c r="CN20" s="12"/>
      <c r="CO20" s="12"/>
      <c r="CP20" s="12"/>
      <c r="CQ20" s="12"/>
      <c r="CR20" s="12"/>
      <c r="CS20" s="12"/>
      <c r="CT20" s="12"/>
      <c r="CU20" s="12"/>
      <c r="CV20" s="12"/>
      <c r="CW20" s="12"/>
    </row>
    <row r="21" spans="1:101" ht="15.75" thickBot="1" x14ac:dyDescent="0.3">
      <c r="B21" s="87" t="s">
        <v>18</v>
      </c>
      <c r="C21" s="87"/>
      <c r="D21" s="87"/>
      <c r="E21" s="87"/>
      <c r="F21" s="87"/>
      <c r="G21" s="87"/>
      <c r="H21" s="87"/>
      <c r="I21" s="4"/>
      <c r="J21" s="4"/>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c r="CJ21" s="12"/>
      <c r="CK21" s="12"/>
      <c r="CL21" s="12"/>
      <c r="CM21" s="12"/>
      <c r="CN21" s="12"/>
      <c r="CO21" s="12"/>
      <c r="CP21" s="12"/>
      <c r="CQ21" s="12"/>
      <c r="CR21" s="12"/>
      <c r="CS21" s="12"/>
      <c r="CT21" s="12"/>
      <c r="CU21" s="12"/>
      <c r="CV21" s="12"/>
      <c r="CW21" s="12"/>
    </row>
    <row r="22" spans="1:101" ht="15.75" thickBot="1" x14ac:dyDescent="0.3">
      <c r="B22" s="28" t="s">
        <v>58</v>
      </c>
      <c r="C22" s="70" t="s">
        <v>54</v>
      </c>
      <c r="D22" s="44"/>
      <c r="E22" s="44"/>
      <c r="F22" s="5">
        <v>1</v>
      </c>
      <c r="G22" s="45">
        <f>H20+1</f>
        <v>46012</v>
      </c>
      <c r="H22" s="45">
        <f>G22+1</f>
        <v>46013</v>
      </c>
      <c r="I22" s="4"/>
      <c r="J22" s="4"/>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c r="CJ22" s="12"/>
      <c r="CK22" s="12"/>
      <c r="CL22" s="12"/>
      <c r="CM22" s="12"/>
      <c r="CN22" s="12"/>
      <c r="CO22" s="12"/>
      <c r="CP22" s="12"/>
      <c r="CQ22" s="12"/>
      <c r="CR22" s="12"/>
      <c r="CS22" s="12"/>
      <c r="CT22" s="12"/>
      <c r="CU22" s="12"/>
      <c r="CV22" s="12"/>
      <c r="CW22" s="12"/>
    </row>
    <row r="23" spans="1:101" ht="15.75" thickBot="1" x14ac:dyDescent="0.3">
      <c r="B23" s="56" t="s">
        <v>60</v>
      </c>
      <c r="C23" s="70" t="s">
        <v>33</v>
      </c>
      <c r="D23" s="44" t="s">
        <v>34</v>
      </c>
      <c r="E23" s="44"/>
      <c r="F23" s="5">
        <v>1</v>
      </c>
      <c r="G23" s="45">
        <f>H22+1</f>
        <v>46014</v>
      </c>
      <c r="H23" s="45">
        <f>G23+1</f>
        <v>46015</v>
      </c>
      <c r="I23" s="4"/>
      <c r="J23" s="4">
        <f t="shared" si="35"/>
        <v>2</v>
      </c>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c r="CD23" s="12"/>
      <c r="CE23" s="12"/>
      <c r="CF23" s="12"/>
      <c r="CG23" s="12"/>
      <c r="CH23" s="12"/>
      <c r="CI23" s="12"/>
      <c r="CJ23" s="12"/>
      <c r="CK23" s="12"/>
      <c r="CL23" s="12"/>
      <c r="CM23" s="12"/>
      <c r="CN23" s="12"/>
      <c r="CO23" s="12"/>
      <c r="CP23" s="12"/>
      <c r="CQ23" s="12"/>
      <c r="CR23" s="12"/>
      <c r="CS23" s="12"/>
      <c r="CT23" s="12"/>
      <c r="CU23" s="12"/>
      <c r="CV23" s="12"/>
      <c r="CW23" s="12"/>
    </row>
    <row r="24" spans="1:101" ht="15.75" thickBot="1" x14ac:dyDescent="0.3">
      <c r="B24" s="55" t="s">
        <v>61</v>
      </c>
      <c r="C24" s="70" t="s">
        <v>38</v>
      </c>
      <c r="D24" s="44" t="s">
        <v>39</v>
      </c>
      <c r="E24" s="44" t="s">
        <v>40</v>
      </c>
      <c r="F24" s="5">
        <v>1</v>
      </c>
      <c r="G24" s="45">
        <f t="shared" ref="G24:G31" si="36">H23+1</f>
        <v>46016</v>
      </c>
      <c r="H24" s="45">
        <f t="shared" ref="H24:H47" si="37">G24+1</f>
        <v>46017</v>
      </c>
      <c r="I24" s="4"/>
      <c r="J24" s="4"/>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c r="CA24" s="12"/>
      <c r="CB24" s="12"/>
      <c r="CC24" s="12"/>
      <c r="CD24" s="12"/>
      <c r="CE24" s="12"/>
      <c r="CF24" s="12"/>
      <c r="CG24" s="12"/>
      <c r="CH24" s="12"/>
      <c r="CI24" s="12"/>
      <c r="CJ24" s="12"/>
      <c r="CK24" s="12"/>
      <c r="CL24" s="12"/>
      <c r="CM24" s="12"/>
      <c r="CN24" s="12"/>
      <c r="CO24" s="12"/>
      <c r="CP24" s="12"/>
      <c r="CQ24" s="12"/>
      <c r="CR24" s="12"/>
      <c r="CS24" s="12"/>
      <c r="CT24" s="12"/>
      <c r="CU24" s="12"/>
      <c r="CV24" s="12"/>
      <c r="CW24" s="12"/>
    </row>
    <row r="25" spans="1:101" ht="15.75" thickBot="1" x14ac:dyDescent="0.3">
      <c r="B25" s="56" t="s">
        <v>60</v>
      </c>
      <c r="C25" s="70" t="s">
        <v>21</v>
      </c>
      <c r="D25" s="44"/>
      <c r="E25" s="44"/>
      <c r="F25" s="5">
        <v>1</v>
      </c>
      <c r="G25" s="45">
        <f t="shared" si="36"/>
        <v>46018</v>
      </c>
      <c r="H25" s="45">
        <f t="shared" si="37"/>
        <v>46019</v>
      </c>
      <c r="I25" s="4"/>
      <c r="J25" s="4">
        <f t="shared" si="35"/>
        <v>2</v>
      </c>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12"/>
      <c r="CR25" s="12"/>
      <c r="CS25" s="12"/>
      <c r="CT25" s="12"/>
      <c r="CU25" s="12"/>
      <c r="CV25" s="12"/>
      <c r="CW25" s="12"/>
    </row>
    <row r="26" spans="1:101" ht="15.75" thickBot="1" x14ac:dyDescent="0.3">
      <c r="B26" s="56" t="s">
        <v>60</v>
      </c>
      <c r="C26" s="70" t="s">
        <v>36</v>
      </c>
      <c r="D26" s="44" t="s">
        <v>35</v>
      </c>
      <c r="E26" s="44" t="s">
        <v>37</v>
      </c>
      <c r="F26" s="5">
        <v>1</v>
      </c>
      <c r="G26" s="45">
        <f t="shared" si="36"/>
        <v>46020</v>
      </c>
      <c r="H26" s="45">
        <f t="shared" si="37"/>
        <v>46021</v>
      </c>
      <c r="I26" s="4"/>
      <c r="J26" s="4">
        <f t="shared" si="35"/>
        <v>2</v>
      </c>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c r="CF26" s="12"/>
      <c r="CG26" s="12"/>
      <c r="CH26" s="12"/>
      <c r="CI26" s="12"/>
      <c r="CJ26" s="12"/>
      <c r="CK26" s="12"/>
      <c r="CL26" s="12"/>
      <c r="CM26" s="12"/>
      <c r="CN26" s="12"/>
      <c r="CO26" s="12"/>
      <c r="CP26" s="12"/>
      <c r="CQ26" s="12"/>
      <c r="CR26" s="12"/>
      <c r="CS26" s="12"/>
      <c r="CT26" s="12"/>
      <c r="CU26" s="12"/>
      <c r="CV26" s="12"/>
      <c r="CW26" s="12"/>
    </row>
    <row r="27" spans="1:101" ht="15.75" thickBot="1" x14ac:dyDescent="0.3">
      <c r="B27" s="56" t="s">
        <v>60</v>
      </c>
      <c r="C27" s="70" t="s">
        <v>20</v>
      </c>
      <c r="D27" s="44"/>
      <c r="E27" s="44"/>
      <c r="F27" s="5">
        <v>1</v>
      </c>
      <c r="G27" s="45">
        <f t="shared" si="36"/>
        <v>46022</v>
      </c>
      <c r="H27" s="45">
        <f t="shared" si="37"/>
        <v>46023</v>
      </c>
      <c r="I27" s="4"/>
      <c r="J27" s="4">
        <f t="shared" si="35"/>
        <v>2</v>
      </c>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c r="CD27" s="12"/>
      <c r="CE27" s="12"/>
      <c r="CF27" s="12"/>
      <c r="CG27" s="12"/>
      <c r="CH27" s="12"/>
      <c r="CI27" s="12"/>
      <c r="CJ27" s="12"/>
      <c r="CK27" s="12"/>
      <c r="CL27" s="12"/>
      <c r="CM27" s="12"/>
      <c r="CN27" s="12"/>
      <c r="CO27" s="12"/>
      <c r="CP27" s="12"/>
      <c r="CQ27" s="12"/>
      <c r="CR27" s="12"/>
      <c r="CS27" s="12"/>
      <c r="CT27" s="12"/>
      <c r="CU27" s="12"/>
      <c r="CV27" s="12"/>
      <c r="CW27" s="12"/>
    </row>
    <row r="28" spans="1:101" ht="15.75" thickBot="1" x14ac:dyDescent="0.3">
      <c r="B28" s="55" t="s">
        <v>61</v>
      </c>
      <c r="C28" s="70" t="s">
        <v>25</v>
      </c>
      <c r="D28" s="44" t="s">
        <v>26</v>
      </c>
      <c r="E28" s="44"/>
      <c r="F28" s="5">
        <v>1</v>
      </c>
      <c r="G28" s="45">
        <f t="shared" si="36"/>
        <v>46024</v>
      </c>
      <c r="H28" s="45">
        <f t="shared" si="37"/>
        <v>46025</v>
      </c>
      <c r="I28" s="4"/>
      <c r="J28" s="4"/>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c r="CJ28" s="12"/>
      <c r="CK28" s="12"/>
      <c r="CL28" s="12"/>
      <c r="CM28" s="12"/>
      <c r="CN28" s="12"/>
      <c r="CO28" s="12"/>
      <c r="CP28" s="12"/>
      <c r="CQ28" s="12"/>
      <c r="CR28" s="12"/>
      <c r="CS28" s="12"/>
      <c r="CT28" s="12"/>
      <c r="CU28" s="12"/>
      <c r="CV28" s="12"/>
      <c r="CW28" s="12"/>
    </row>
    <row r="29" spans="1:101" ht="15.75" thickBot="1" x14ac:dyDescent="0.3">
      <c r="B29" s="56" t="s">
        <v>60</v>
      </c>
      <c r="C29" s="70" t="s">
        <v>22</v>
      </c>
      <c r="D29" s="44"/>
      <c r="E29" s="44"/>
      <c r="F29" s="5">
        <v>1</v>
      </c>
      <c r="G29" s="45">
        <f t="shared" si="36"/>
        <v>46026</v>
      </c>
      <c r="H29" s="45">
        <f t="shared" si="37"/>
        <v>46027</v>
      </c>
      <c r="I29" s="4"/>
      <c r="J29" s="4"/>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c r="CJ29" s="12"/>
      <c r="CK29" s="12"/>
      <c r="CL29" s="12"/>
      <c r="CM29" s="12"/>
      <c r="CN29" s="12"/>
      <c r="CO29" s="12"/>
      <c r="CP29" s="12"/>
      <c r="CQ29" s="12"/>
      <c r="CR29" s="12"/>
      <c r="CS29" s="12"/>
      <c r="CT29" s="12"/>
      <c r="CU29" s="12"/>
      <c r="CV29" s="12"/>
      <c r="CW29" s="12"/>
    </row>
    <row r="30" spans="1:101" ht="15.75" thickBot="1" x14ac:dyDescent="0.3">
      <c r="B30" s="28" t="s">
        <v>58</v>
      </c>
      <c r="C30" s="70" t="s">
        <v>23</v>
      </c>
      <c r="D30" s="44"/>
      <c r="E30" s="44"/>
      <c r="F30" s="5">
        <v>1</v>
      </c>
      <c r="G30" s="45">
        <f t="shared" si="36"/>
        <v>46028</v>
      </c>
      <c r="H30" s="45">
        <f t="shared" si="37"/>
        <v>46029</v>
      </c>
      <c r="I30" s="4"/>
      <c r="J30" s="4"/>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c r="CN30" s="12"/>
      <c r="CO30" s="12"/>
      <c r="CP30" s="12"/>
      <c r="CQ30" s="12"/>
      <c r="CR30" s="12"/>
      <c r="CS30" s="12"/>
      <c r="CT30" s="12"/>
      <c r="CU30" s="12"/>
      <c r="CV30" s="12"/>
      <c r="CW30" s="12"/>
    </row>
    <row r="31" spans="1:101" ht="15.75" thickBot="1" x14ac:dyDescent="0.3">
      <c r="B31" s="56" t="s">
        <v>60</v>
      </c>
      <c r="C31" s="70" t="s">
        <v>44</v>
      </c>
      <c r="D31" s="44" t="s">
        <v>46</v>
      </c>
      <c r="E31" s="44" t="s">
        <v>45</v>
      </c>
      <c r="F31" s="5">
        <v>1</v>
      </c>
      <c r="G31" s="45">
        <f t="shared" si="36"/>
        <v>46030</v>
      </c>
      <c r="H31" s="45">
        <f t="shared" si="37"/>
        <v>46031</v>
      </c>
      <c r="I31" s="4"/>
      <c r="J31" s="4"/>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c r="CA31" s="12"/>
      <c r="CB31" s="12"/>
      <c r="CC31" s="12"/>
      <c r="CD31" s="12"/>
      <c r="CE31" s="12"/>
      <c r="CF31" s="12"/>
      <c r="CG31" s="12"/>
      <c r="CH31" s="12"/>
      <c r="CI31" s="12"/>
      <c r="CJ31" s="12"/>
      <c r="CK31" s="12"/>
      <c r="CL31" s="12"/>
      <c r="CM31" s="12"/>
      <c r="CN31" s="12"/>
      <c r="CO31" s="12"/>
      <c r="CP31" s="12"/>
      <c r="CQ31" s="12"/>
      <c r="CR31" s="12"/>
      <c r="CS31" s="12"/>
      <c r="CT31" s="12"/>
      <c r="CU31" s="12"/>
      <c r="CV31" s="12"/>
      <c r="CW31" s="12"/>
    </row>
    <row r="32" spans="1:101" ht="15.75" thickBot="1" x14ac:dyDescent="0.3">
      <c r="A32" s="33"/>
      <c r="B32" s="94" t="s">
        <v>127</v>
      </c>
      <c r="C32" s="94"/>
      <c r="D32" s="94"/>
      <c r="E32" s="94"/>
      <c r="F32" s="94"/>
      <c r="G32" s="94"/>
      <c r="H32" s="94"/>
      <c r="I32" s="4"/>
      <c r="J32" s="4" t="str">
        <f t="shared" si="35"/>
        <v/>
      </c>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c r="CA32" s="12"/>
      <c r="CB32" s="12"/>
      <c r="CC32" s="12"/>
      <c r="CD32" s="12"/>
      <c r="CE32" s="12"/>
      <c r="CF32" s="12"/>
      <c r="CG32" s="12"/>
      <c r="CH32" s="12"/>
      <c r="CI32" s="12"/>
      <c r="CJ32" s="12"/>
      <c r="CK32" s="12"/>
      <c r="CL32" s="12"/>
      <c r="CM32" s="12"/>
      <c r="CN32" s="12"/>
      <c r="CO32" s="12"/>
      <c r="CP32" s="12"/>
      <c r="CQ32" s="12"/>
      <c r="CR32" s="12"/>
      <c r="CS32" s="12"/>
      <c r="CT32" s="12"/>
      <c r="CU32" s="12"/>
      <c r="CV32" s="12"/>
      <c r="CW32" s="12"/>
    </row>
    <row r="33" spans="1:101" ht="15.75" thickBot="1" x14ac:dyDescent="0.3">
      <c r="A33" s="33"/>
      <c r="B33" s="28" t="s">
        <v>58</v>
      </c>
      <c r="C33" s="92" t="s">
        <v>128</v>
      </c>
      <c r="D33" s="44"/>
      <c r="E33" s="44"/>
      <c r="F33" s="5">
        <v>1</v>
      </c>
      <c r="G33" s="93">
        <f>H31+1</f>
        <v>46032</v>
      </c>
      <c r="H33" s="93">
        <f t="shared" si="37"/>
        <v>46033</v>
      </c>
      <c r="I33" s="4"/>
      <c r="J33" s="4">
        <f t="shared" si="35"/>
        <v>2</v>
      </c>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s="12"/>
      <c r="CL33" s="12"/>
      <c r="CM33" s="12"/>
      <c r="CN33" s="12"/>
      <c r="CO33" s="12"/>
      <c r="CP33" s="12"/>
      <c r="CQ33" s="12"/>
      <c r="CR33" s="12"/>
      <c r="CS33" s="12"/>
      <c r="CT33" s="12"/>
      <c r="CU33" s="12"/>
      <c r="CV33" s="12"/>
      <c r="CW33" s="12"/>
    </row>
    <row r="34" spans="1:101" ht="15.75" thickBot="1" x14ac:dyDescent="0.3">
      <c r="A34" s="33"/>
      <c r="B34" s="56" t="s">
        <v>60</v>
      </c>
      <c r="C34" s="92" t="s">
        <v>129</v>
      </c>
      <c r="D34" s="44" t="s">
        <v>34</v>
      </c>
      <c r="E34" s="44"/>
      <c r="F34" s="5">
        <v>1</v>
      </c>
      <c r="G34" s="93">
        <f t="shared" ref="G34:G35" si="38">H33+1</f>
        <v>46034</v>
      </c>
      <c r="H34" s="93">
        <f t="shared" si="37"/>
        <v>46035</v>
      </c>
      <c r="I34" s="4"/>
      <c r="J34" s="4"/>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row>
    <row r="35" spans="1:101" ht="15.75" thickBot="1" x14ac:dyDescent="0.3">
      <c r="A35" s="33"/>
      <c r="B35" s="56" t="s">
        <v>60</v>
      </c>
      <c r="C35" s="92" t="s">
        <v>130</v>
      </c>
      <c r="D35" s="44" t="s">
        <v>39</v>
      </c>
      <c r="E35" s="44" t="s">
        <v>40</v>
      </c>
      <c r="F35" s="5">
        <v>1</v>
      </c>
      <c r="G35" s="93">
        <f t="shared" si="38"/>
        <v>46036</v>
      </c>
      <c r="H35" s="93">
        <f t="shared" si="37"/>
        <v>46037</v>
      </c>
      <c r="I35" s="4"/>
      <c r="J35" s="4"/>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s="12"/>
      <c r="CB35" s="12"/>
      <c r="CC35" s="12"/>
      <c r="CD35" s="12"/>
      <c r="CE35" s="12"/>
      <c r="CF35" s="12"/>
      <c r="CG35" s="12"/>
      <c r="CH35" s="12"/>
      <c r="CI35" s="12"/>
      <c r="CJ35" s="12"/>
      <c r="CK35" s="12"/>
      <c r="CL35" s="12"/>
      <c r="CM35" s="12"/>
      <c r="CN35" s="12"/>
      <c r="CO35" s="12"/>
      <c r="CP35" s="12"/>
      <c r="CQ35" s="12"/>
      <c r="CR35" s="12"/>
      <c r="CS35" s="12"/>
      <c r="CT35" s="12"/>
      <c r="CU35" s="12"/>
      <c r="CV35" s="12"/>
      <c r="CW35" s="12"/>
    </row>
    <row r="36" spans="1:101" ht="15.75" thickBot="1" x14ac:dyDescent="0.3">
      <c r="A36" s="33"/>
      <c r="B36" s="83" t="s">
        <v>123</v>
      </c>
      <c r="C36" s="83"/>
      <c r="D36" s="83"/>
      <c r="E36" s="83"/>
      <c r="F36" s="83"/>
      <c r="G36" s="83"/>
      <c r="H36" s="83"/>
      <c r="I36" s="4"/>
      <c r="J36" s="4"/>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row>
    <row r="37" spans="1:101" ht="15.75" thickBot="1" x14ac:dyDescent="0.3">
      <c r="A37" s="33"/>
      <c r="B37" s="28" t="s">
        <v>58</v>
      </c>
      <c r="C37" s="78" t="s">
        <v>124</v>
      </c>
      <c r="D37" s="44"/>
      <c r="E37" s="44"/>
      <c r="F37" s="5">
        <v>1</v>
      </c>
      <c r="G37" s="77">
        <f>H35+1</f>
        <v>46038</v>
      </c>
      <c r="H37" s="77">
        <f t="shared" si="37"/>
        <v>46039</v>
      </c>
      <c r="I37" s="4"/>
      <c r="J37" s="4"/>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row>
    <row r="38" spans="1:101" ht="15.75" thickBot="1" x14ac:dyDescent="0.3">
      <c r="A38" s="33"/>
      <c r="B38" s="56" t="s">
        <v>60</v>
      </c>
      <c r="C38" s="78" t="s">
        <v>125</v>
      </c>
      <c r="D38" s="44" t="s">
        <v>34</v>
      </c>
      <c r="E38" s="44"/>
      <c r="F38" s="5">
        <v>1</v>
      </c>
      <c r="G38" s="77">
        <f t="shared" ref="G38:G39" si="39">H37+1</f>
        <v>46040</v>
      </c>
      <c r="H38" s="77">
        <f t="shared" si="37"/>
        <v>46041</v>
      </c>
      <c r="I38" s="4"/>
      <c r="J38" s="4"/>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row>
    <row r="39" spans="1:101" ht="15.75" thickBot="1" x14ac:dyDescent="0.3">
      <c r="B39" s="55" t="s">
        <v>61</v>
      </c>
      <c r="C39" s="78" t="s">
        <v>126</v>
      </c>
      <c r="D39" s="44" t="s">
        <v>39</v>
      </c>
      <c r="E39" s="44" t="s">
        <v>40</v>
      </c>
      <c r="F39" s="5">
        <v>1</v>
      </c>
      <c r="G39" s="77">
        <f t="shared" si="39"/>
        <v>46042</v>
      </c>
      <c r="H39" s="77">
        <f t="shared" si="37"/>
        <v>46043</v>
      </c>
      <c r="I39" s="4"/>
      <c r="J39" s="4">
        <f t="shared" si="35"/>
        <v>2</v>
      </c>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23"/>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row>
    <row r="40" spans="1:101" ht="15.75" thickBot="1" x14ac:dyDescent="0.3">
      <c r="B40" s="95" t="s">
        <v>132</v>
      </c>
      <c r="C40" s="95"/>
      <c r="D40" s="95"/>
      <c r="E40" s="95"/>
      <c r="F40" s="95"/>
      <c r="G40" s="95"/>
      <c r="H40" s="95"/>
      <c r="I40" s="4"/>
      <c r="J40" s="4"/>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23"/>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row>
    <row r="41" spans="1:101" ht="15.75" thickBot="1" x14ac:dyDescent="0.3">
      <c r="B41" s="28" t="s">
        <v>58</v>
      </c>
      <c r="C41" s="71" t="s">
        <v>133</v>
      </c>
      <c r="D41" s="44"/>
      <c r="E41" s="44"/>
      <c r="F41" s="5">
        <v>1</v>
      </c>
      <c r="G41" s="47">
        <f>H39+1</f>
        <v>46044</v>
      </c>
      <c r="H41" s="47">
        <f t="shared" si="37"/>
        <v>46045</v>
      </c>
      <c r="I41" s="4"/>
      <c r="J41" s="4">
        <f t="shared" si="35"/>
        <v>2</v>
      </c>
      <c r="K41" s="12"/>
      <c r="L41" s="12"/>
      <c r="M41" s="12"/>
      <c r="N41" s="12"/>
      <c r="O41" s="12"/>
      <c r="P41" s="12"/>
      <c r="Q41" s="12"/>
      <c r="R41" s="12"/>
      <c r="S41" s="12"/>
      <c r="T41" s="12"/>
      <c r="U41" s="12"/>
      <c r="V41" s="12"/>
      <c r="W41" s="12"/>
      <c r="X41" s="12"/>
      <c r="Y41" s="12"/>
      <c r="Z41" s="12"/>
      <c r="AA41" s="13"/>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row>
    <row r="42" spans="1:101" ht="15.75" thickBot="1" x14ac:dyDescent="0.3">
      <c r="B42" s="56" t="s">
        <v>60</v>
      </c>
      <c r="C42" s="71" t="s">
        <v>134</v>
      </c>
      <c r="D42" s="44" t="s">
        <v>34</v>
      </c>
      <c r="E42" s="44"/>
      <c r="F42" s="5">
        <v>1</v>
      </c>
      <c r="G42" s="47">
        <f t="shared" ref="G42:G43" si="40">H41+1</f>
        <v>46046</v>
      </c>
      <c r="H42" s="47">
        <f t="shared" si="37"/>
        <v>46047</v>
      </c>
      <c r="I42" s="4"/>
      <c r="J42" s="4">
        <f t="shared" si="35"/>
        <v>2</v>
      </c>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row>
    <row r="43" spans="1:101" ht="15.75" thickBot="1" x14ac:dyDescent="0.3">
      <c r="B43" s="55" t="s">
        <v>61</v>
      </c>
      <c r="C43" s="71" t="s">
        <v>135</v>
      </c>
      <c r="D43" s="44" t="s">
        <v>39</v>
      </c>
      <c r="E43" s="44" t="s">
        <v>40</v>
      </c>
      <c r="F43" s="5">
        <v>1</v>
      </c>
      <c r="G43" s="47">
        <f t="shared" si="40"/>
        <v>46048</v>
      </c>
      <c r="H43" s="47">
        <f t="shared" si="37"/>
        <v>46049</v>
      </c>
      <c r="I43" s="4"/>
      <c r="J43" s="4">
        <f t="shared" si="35"/>
        <v>2</v>
      </c>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row>
    <row r="44" spans="1:101" ht="15.75" thickBot="1" x14ac:dyDescent="0.3">
      <c r="B44" s="104" t="s">
        <v>116</v>
      </c>
      <c r="C44" s="104"/>
      <c r="D44" s="104"/>
      <c r="E44" s="104"/>
      <c r="F44" s="104"/>
      <c r="G44" s="104"/>
      <c r="H44" s="104"/>
      <c r="I44" s="4"/>
      <c r="J44" s="4" t="str">
        <f t="shared" si="35"/>
        <v/>
      </c>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row>
    <row r="45" spans="1:101" ht="15.75" thickBot="1" x14ac:dyDescent="0.3">
      <c r="B45" s="28" t="s">
        <v>58</v>
      </c>
      <c r="C45" s="96" t="s">
        <v>120</v>
      </c>
      <c r="D45" s="44"/>
      <c r="E45" s="44"/>
      <c r="F45" s="5">
        <v>1</v>
      </c>
      <c r="G45" s="97">
        <f>H43+1</f>
        <v>46050</v>
      </c>
      <c r="H45" s="97">
        <f t="shared" si="37"/>
        <v>46051</v>
      </c>
      <c r="I45" s="4"/>
      <c r="J45" s="4">
        <f t="shared" si="35"/>
        <v>2</v>
      </c>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row>
    <row r="46" spans="1:101" ht="15.75" thickBot="1" x14ac:dyDescent="0.3">
      <c r="B46" s="56" t="s">
        <v>60</v>
      </c>
      <c r="C46" s="96" t="s">
        <v>121</v>
      </c>
      <c r="D46" s="44" t="s">
        <v>34</v>
      </c>
      <c r="E46" s="44"/>
      <c r="F46" s="5">
        <v>1</v>
      </c>
      <c r="G46" s="97">
        <f t="shared" ref="G46:G47" si="41">H45+1</f>
        <v>46052</v>
      </c>
      <c r="H46" s="97">
        <f t="shared" si="37"/>
        <v>46053</v>
      </c>
      <c r="I46" s="4"/>
      <c r="J46" s="4">
        <f t="shared" si="35"/>
        <v>2</v>
      </c>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row>
    <row r="47" spans="1:101" ht="15.75" thickBot="1" x14ac:dyDescent="0.3">
      <c r="B47" s="56" t="s">
        <v>60</v>
      </c>
      <c r="C47" s="96" t="s">
        <v>122</v>
      </c>
      <c r="D47" s="44" t="s">
        <v>39</v>
      </c>
      <c r="E47" s="44" t="s">
        <v>40</v>
      </c>
      <c r="F47" s="5">
        <v>1</v>
      </c>
      <c r="G47" s="97">
        <f t="shared" si="41"/>
        <v>46054</v>
      </c>
      <c r="H47" s="97">
        <f t="shared" si="37"/>
        <v>46055</v>
      </c>
      <c r="I47" s="4"/>
      <c r="J47" s="4">
        <f t="shared" si="35"/>
        <v>2</v>
      </c>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row>
    <row r="48" spans="1:101" ht="15.75" thickBot="1" x14ac:dyDescent="0.3">
      <c r="B48" s="88" t="s">
        <v>131</v>
      </c>
      <c r="C48" s="88"/>
      <c r="D48" s="88"/>
      <c r="E48" s="88"/>
      <c r="F48" s="88"/>
      <c r="G48" s="88"/>
      <c r="H48" s="88"/>
      <c r="I48" s="4"/>
      <c r="J48" s="4"/>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row>
    <row r="49" spans="2:101" ht="15.75" thickBot="1" x14ac:dyDescent="0.3">
      <c r="B49" s="28" t="s">
        <v>58</v>
      </c>
      <c r="C49" s="71" t="s">
        <v>119</v>
      </c>
      <c r="D49" s="46" t="s">
        <v>41</v>
      </c>
      <c r="E49" s="46" t="s">
        <v>42</v>
      </c>
      <c r="F49" s="24">
        <v>1</v>
      </c>
      <c r="G49" s="47">
        <f>H47+1</f>
        <v>46056</v>
      </c>
      <c r="H49" s="47">
        <f t="shared" ref="H49:H52" si="42">G49+1</f>
        <v>46057</v>
      </c>
      <c r="I49" s="4"/>
      <c r="J49" s="4"/>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s="12"/>
      <c r="CP49" s="12"/>
      <c r="CQ49" s="12"/>
      <c r="CR49" s="12"/>
      <c r="CS49" s="12"/>
      <c r="CT49" s="12"/>
      <c r="CU49" s="12"/>
      <c r="CV49" s="12"/>
      <c r="CW49" s="12"/>
    </row>
    <row r="50" spans="2:101" ht="15.75" thickBot="1" x14ac:dyDescent="0.3">
      <c r="B50" s="55" t="s">
        <v>61</v>
      </c>
      <c r="C50" s="71" t="s">
        <v>62</v>
      </c>
      <c r="D50" s="46" t="s">
        <v>28</v>
      </c>
      <c r="E50" s="46" t="s">
        <v>43</v>
      </c>
      <c r="F50" s="24">
        <v>1</v>
      </c>
      <c r="G50" s="47">
        <f t="shared" ref="G50:G55" si="43">H49+1</f>
        <v>46058</v>
      </c>
      <c r="H50" s="47">
        <f t="shared" si="42"/>
        <v>46059</v>
      </c>
      <c r="I50" s="4"/>
      <c r="J50" s="4"/>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row>
    <row r="51" spans="2:101" ht="15.75" thickBot="1" x14ac:dyDescent="0.3">
      <c r="B51" s="55" t="s">
        <v>61</v>
      </c>
      <c r="C51" s="71" t="s">
        <v>63</v>
      </c>
      <c r="D51" s="46"/>
      <c r="E51" s="46"/>
      <c r="F51" s="24">
        <v>1</v>
      </c>
      <c r="G51" s="47">
        <f t="shared" si="43"/>
        <v>46060</v>
      </c>
      <c r="H51" s="47">
        <f t="shared" si="42"/>
        <v>46061</v>
      </c>
      <c r="I51" s="4"/>
      <c r="J51" s="4"/>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row>
    <row r="52" spans="2:101" ht="15.75" thickBot="1" x14ac:dyDescent="0.3">
      <c r="B52" s="56" t="s">
        <v>60</v>
      </c>
      <c r="C52" s="71" t="s">
        <v>64</v>
      </c>
      <c r="D52" s="46"/>
      <c r="E52" s="46" t="s">
        <v>50</v>
      </c>
      <c r="F52" s="24">
        <v>1</v>
      </c>
      <c r="G52" s="47">
        <f t="shared" si="43"/>
        <v>46062</v>
      </c>
      <c r="H52" s="47">
        <f t="shared" si="42"/>
        <v>46063</v>
      </c>
      <c r="I52" s="4"/>
      <c r="J52" s="4"/>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row>
    <row r="53" spans="2:101" ht="15.75" thickBot="1" x14ac:dyDescent="0.3">
      <c r="B53" s="85" t="s">
        <v>56</v>
      </c>
      <c r="C53" s="85"/>
      <c r="D53" s="85"/>
      <c r="E53" s="85"/>
      <c r="F53" s="85"/>
      <c r="G53" s="85"/>
      <c r="H53" s="85"/>
      <c r="I53" s="4"/>
      <c r="J53" s="4"/>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row>
    <row r="54" spans="2:101" ht="15.75" thickBot="1" x14ac:dyDescent="0.3">
      <c r="B54" s="28" t="s">
        <v>58</v>
      </c>
      <c r="C54" s="72" t="s">
        <v>118</v>
      </c>
      <c r="D54" s="48" t="s">
        <v>26</v>
      </c>
      <c r="E54" s="48" t="s">
        <v>47</v>
      </c>
      <c r="F54" s="7">
        <v>1</v>
      </c>
      <c r="G54" s="49">
        <f>H52+1</f>
        <v>46064</v>
      </c>
      <c r="H54" s="49">
        <f t="shared" ref="H54:H55" si="44">G54+1</f>
        <v>46065</v>
      </c>
      <c r="I54" s="4"/>
      <c r="J54" s="4"/>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row>
    <row r="55" spans="2:101" ht="15.75" thickBot="1" x14ac:dyDescent="0.3">
      <c r="B55" s="56" t="s">
        <v>60</v>
      </c>
      <c r="C55" s="73" t="s">
        <v>48</v>
      </c>
      <c r="D55" s="48" t="s">
        <v>49</v>
      </c>
      <c r="E55" s="48" t="s">
        <v>65</v>
      </c>
      <c r="F55" s="7">
        <v>1</v>
      </c>
      <c r="G55" s="49">
        <f t="shared" si="43"/>
        <v>46066</v>
      </c>
      <c r="H55" s="49">
        <f t="shared" si="44"/>
        <v>46067</v>
      </c>
      <c r="I55" s="4"/>
      <c r="J55" s="4"/>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row>
    <row r="56" spans="2:101" ht="15.75" thickBot="1" x14ac:dyDescent="0.3">
      <c r="B56" s="79" t="s">
        <v>57</v>
      </c>
      <c r="C56" s="79"/>
      <c r="D56" s="79"/>
      <c r="E56" s="79"/>
      <c r="F56" s="79"/>
      <c r="G56" s="79"/>
      <c r="H56" s="79"/>
      <c r="I56" s="4"/>
      <c r="J56" s="4"/>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row>
    <row r="57" spans="2:101" ht="15.75" thickBot="1" x14ac:dyDescent="0.3">
      <c r="B57" s="28" t="s">
        <v>58</v>
      </c>
      <c r="C57" s="74" t="s">
        <v>117</v>
      </c>
      <c r="D57" s="50" t="s">
        <v>30</v>
      </c>
      <c r="E57" s="50"/>
      <c r="F57" s="8">
        <v>1</v>
      </c>
      <c r="G57" s="51">
        <f>H55+1</f>
        <v>46068</v>
      </c>
      <c r="H57" s="51">
        <f t="shared" ref="H57:H59" si="45">G57+1</f>
        <v>46069</v>
      </c>
      <c r="I57" s="4"/>
      <c r="J57" s="4"/>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row>
    <row r="58" spans="2:101" ht="15.75" thickBot="1" x14ac:dyDescent="0.3">
      <c r="B58" s="28" t="s">
        <v>58</v>
      </c>
      <c r="C58" s="74" t="s">
        <v>31</v>
      </c>
      <c r="D58" s="50" t="s">
        <v>30</v>
      </c>
      <c r="E58" s="50"/>
      <c r="F58" s="8">
        <v>1</v>
      </c>
      <c r="G58" s="51">
        <f t="shared" ref="G58:G59" si="46">H57+1</f>
        <v>46070</v>
      </c>
      <c r="H58" s="51">
        <f t="shared" si="45"/>
        <v>46071</v>
      </c>
      <c r="I58" s="4"/>
      <c r="J58" s="4"/>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row>
    <row r="59" spans="2:101" ht="15.75" thickBot="1" x14ac:dyDescent="0.3">
      <c r="B59" s="55" t="s">
        <v>61</v>
      </c>
      <c r="C59" s="74" t="s">
        <v>29</v>
      </c>
      <c r="D59" s="50"/>
      <c r="E59" s="50" t="s">
        <v>32</v>
      </c>
      <c r="F59" s="8">
        <v>1</v>
      </c>
      <c r="G59" s="51">
        <f t="shared" si="46"/>
        <v>46072</v>
      </c>
      <c r="H59" s="51">
        <f t="shared" si="45"/>
        <v>46073</v>
      </c>
      <c r="I59" s="4"/>
      <c r="J59" s="4"/>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row>
    <row r="60" spans="2:101" ht="15.75" thickBot="1" x14ac:dyDescent="0.3">
      <c r="B60" s="101" t="s">
        <v>136</v>
      </c>
      <c r="C60" s="101"/>
      <c r="D60" s="101"/>
      <c r="E60" s="101"/>
      <c r="F60" s="101"/>
      <c r="G60" s="101"/>
      <c r="H60" s="101"/>
      <c r="I60" s="4"/>
      <c r="J60" s="4"/>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row>
    <row r="61" spans="2:101" ht="15.75" thickBot="1" x14ac:dyDescent="0.3">
      <c r="B61" s="28" t="s">
        <v>58</v>
      </c>
      <c r="C61" s="99" t="s">
        <v>137</v>
      </c>
      <c r="D61" s="50" t="s">
        <v>30</v>
      </c>
      <c r="E61" s="50"/>
      <c r="F61" s="8">
        <v>1</v>
      </c>
      <c r="G61" s="100">
        <f>H59+1</f>
        <v>46074</v>
      </c>
      <c r="H61" s="100">
        <f t="shared" ref="H61:H63" si="47">G61+1</f>
        <v>46075</v>
      </c>
      <c r="I61" s="4"/>
      <c r="J61" s="4"/>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12"/>
      <c r="CS61" s="12"/>
      <c r="CT61" s="12"/>
      <c r="CU61" s="12"/>
      <c r="CV61" s="12"/>
      <c r="CW61" s="12"/>
    </row>
    <row r="62" spans="2:101" ht="15.75" thickBot="1" x14ac:dyDescent="0.3">
      <c r="B62" s="56" t="s">
        <v>60</v>
      </c>
      <c r="C62" s="99" t="s">
        <v>138</v>
      </c>
      <c r="D62" s="50" t="s">
        <v>30</v>
      </c>
      <c r="E62" s="50"/>
      <c r="F62" s="8">
        <v>1</v>
      </c>
      <c r="G62" s="100">
        <f t="shared" ref="G62:G63" si="48">H61+1</f>
        <v>46076</v>
      </c>
      <c r="H62" s="100">
        <f t="shared" si="47"/>
        <v>46077</v>
      </c>
      <c r="I62" s="4"/>
      <c r="J62" s="4"/>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c r="CV62" s="12"/>
      <c r="CW62" s="12"/>
    </row>
    <row r="63" spans="2:101" ht="15.75" thickBot="1" x14ac:dyDescent="0.3">
      <c r="B63" s="55" t="s">
        <v>61</v>
      </c>
      <c r="C63" s="99" t="s">
        <v>142</v>
      </c>
      <c r="D63" s="50"/>
      <c r="E63" s="50" t="s">
        <v>32</v>
      </c>
      <c r="F63" s="8">
        <v>1</v>
      </c>
      <c r="G63" s="100">
        <f t="shared" si="48"/>
        <v>46078</v>
      </c>
      <c r="H63" s="100">
        <f t="shared" si="47"/>
        <v>46079</v>
      </c>
      <c r="I63" s="4"/>
      <c r="J63" s="4">
        <f t="shared" si="35"/>
        <v>2</v>
      </c>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c r="CN63" s="12"/>
      <c r="CO63" s="12"/>
      <c r="CP63" s="12"/>
      <c r="CQ63" s="12"/>
      <c r="CR63" s="12"/>
      <c r="CS63" s="12"/>
      <c r="CT63" s="12"/>
      <c r="CU63" s="12"/>
      <c r="CV63" s="12"/>
      <c r="CW63" s="12"/>
    </row>
    <row r="64" spans="2:101" ht="15.75" thickBot="1" x14ac:dyDescent="0.3">
      <c r="B64" s="98" t="s">
        <v>139</v>
      </c>
      <c r="C64" s="98"/>
      <c r="D64" s="98"/>
      <c r="E64" s="98"/>
      <c r="F64" s="98"/>
      <c r="G64" s="98"/>
      <c r="H64" s="98"/>
      <c r="I64" s="4"/>
      <c r="J64" s="4"/>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row>
    <row r="65" spans="2:101" ht="15.75" thickBot="1" x14ac:dyDescent="0.3">
      <c r="B65" s="28" t="s">
        <v>58</v>
      </c>
      <c r="C65" s="102" t="s">
        <v>140</v>
      </c>
      <c r="D65" s="50" t="s">
        <v>30</v>
      </c>
      <c r="E65" s="50"/>
      <c r="F65" s="8">
        <v>1</v>
      </c>
      <c r="G65" s="103">
        <f>H63+1</f>
        <v>46080</v>
      </c>
      <c r="H65" s="103">
        <f t="shared" ref="H65:H66" si="49">G65+1</f>
        <v>46081</v>
      </c>
      <c r="I65" s="4"/>
      <c r="J65" s="4"/>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row>
    <row r="66" spans="2:101" ht="15.75" thickBot="1" x14ac:dyDescent="0.3">
      <c r="B66" s="56" t="s">
        <v>60</v>
      </c>
      <c r="C66" s="102" t="s">
        <v>141</v>
      </c>
      <c r="D66" s="50" t="s">
        <v>30</v>
      </c>
      <c r="E66" s="50"/>
      <c r="F66" s="8">
        <v>1</v>
      </c>
      <c r="G66" s="103">
        <f t="shared" ref="G66" si="50">H65+1</f>
        <v>46082</v>
      </c>
      <c r="H66" s="103">
        <f t="shared" si="49"/>
        <v>46083</v>
      </c>
      <c r="I66" s="4"/>
      <c r="J66" s="4">
        <f t="shared" si="35"/>
        <v>2</v>
      </c>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row>
    <row r="67" spans="2:101" ht="15.75" thickBot="1" x14ac:dyDescent="0.3">
      <c r="B67" s="9"/>
      <c r="C67" s="52" t="s">
        <v>8</v>
      </c>
      <c r="D67" s="9"/>
      <c r="E67" s="9"/>
      <c r="F67" s="10"/>
      <c r="G67" s="16"/>
      <c r="H67" s="17"/>
      <c r="I67" s="11"/>
      <c r="J67" s="11" t="str">
        <f t="shared" si="35"/>
        <v/>
      </c>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c r="BA67" s="14"/>
      <c r="BB67" s="14"/>
      <c r="BC67" s="14"/>
      <c r="BD67" s="14"/>
      <c r="BE67" s="14"/>
      <c r="BF67" s="14"/>
      <c r="BG67" s="14"/>
      <c r="BH67" s="14"/>
      <c r="BI67" s="14"/>
      <c r="BJ67" s="14"/>
      <c r="BK67" s="14"/>
      <c r="BL67" s="14"/>
      <c r="BM67" s="14"/>
      <c r="BN67" s="14"/>
      <c r="BO67" s="14"/>
      <c r="BP67" s="14"/>
      <c r="BQ67" s="14"/>
      <c r="BR67" s="14"/>
      <c r="BS67" s="14"/>
      <c r="BT67" s="14"/>
      <c r="BU67" s="14"/>
      <c r="BV67" s="14"/>
      <c r="BW67" s="14"/>
      <c r="BX67" s="14"/>
      <c r="BY67" s="14"/>
      <c r="BZ67" s="14"/>
      <c r="CA67" s="14"/>
      <c r="CB67" s="14"/>
      <c r="CC67" s="14"/>
      <c r="CD67" s="14"/>
      <c r="CE67" s="14"/>
      <c r="CF67" s="14"/>
      <c r="CG67" s="14"/>
      <c r="CH67" s="14"/>
      <c r="CI67" s="14"/>
      <c r="CJ67" s="14"/>
      <c r="CK67" s="14"/>
      <c r="CL67" s="14"/>
      <c r="CM67" s="14"/>
      <c r="CN67" s="14"/>
      <c r="CO67" s="14"/>
      <c r="CP67" s="14"/>
      <c r="CQ67" s="14"/>
      <c r="CR67" s="14"/>
      <c r="CS67" s="14"/>
      <c r="CT67" s="14"/>
      <c r="CU67" s="14"/>
      <c r="CV67" s="14"/>
      <c r="CW67" s="14"/>
    </row>
    <row r="68" spans="2:101" ht="30" customHeight="1" x14ac:dyDescent="0.25">
      <c r="I68" s="2"/>
    </row>
    <row r="70" spans="2:101" ht="30" customHeight="1" x14ac:dyDescent="0.25">
      <c r="D70" s="53"/>
      <c r="E70" s="53"/>
      <c r="H70" s="54"/>
    </row>
    <row r="71" spans="2:101" ht="30" customHeight="1" x14ac:dyDescent="0.25">
      <c r="D71" s="39"/>
      <c r="E71" s="39"/>
    </row>
  </sheetData>
  <mergeCells count="28">
    <mergeCell ref="AM4:AS4"/>
    <mergeCell ref="AT4:AZ4"/>
    <mergeCell ref="G2:H2"/>
    <mergeCell ref="B53:H53"/>
    <mergeCell ref="B56:H56"/>
    <mergeCell ref="B12:H12"/>
    <mergeCell ref="B8:H8"/>
    <mergeCell ref="B44:H44"/>
    <mergeCell ref="G3:H3"/>
    <mergeCell ref="B48:H48"/>
    <mergeCell ref="B21:H21"/>
    <mergeCell ref="C5:I5"/>
    <mergeCell ref="B64:H64"/>
    <mergeCell ref="CQ4:CW4"/>
    <mergeCell ref="B36:H36"/>
    <mergeCell ref="B32:H32"/>
    <mergeCell ref="B40:H40"/>
    <mergeCell ref="B60:H60"/>
    <mergeCell ref="CJ4:CP4"/>
    <mergeCell ref="K4:Q4"/>
    <mergeCell ref="R4:X4"/>
    <mergeCell ref="Y4:AE4"/>
    <mergeCell ref="AF4:AL4"/>
    <mergeCell ref="BO4:BU4"/>
    <mergeCell ref="BV4:CB4"/>
    <mergeCell ref="CC4:CI4"/>
    <mergeCell ref="BA4:BG4"/>
    <mergeCell ref="BH4:BN4"/>
  </mergeCells>
  <conditionalFormatting sqref="F45:F47 F54:F55 F49:F52 F7:F31 F33:F35 F37:F39 F41:F43 F57:F59 F61:F63 F65:F67">
    <cfRule type="dataBar" priority="35">
      <dataBar>
        <cfvo type="num" val="0"/>
        <cfvo type="num" val="1"/>
        <color rgb="FF00B050"/>
      </dataBar>
      <extLst>
        <ext xmlns:x14="http://schemas.microsoft.com/office/spreadsheetml/2009/9/main" uri="{B025F937-C7B1-47D3-B67F-A62EFF666E3E}">
          <x14:id>{B0389232-4C98-4A03-AD0E-39F63BAD1F53}</x14:id>
        </ext>
      </extLst>
    </cfRule>
  </conditionalFormatting>
  <conditionalFormatting sqref="K5:CH67 CJ5:CO67 CQ5:CV67">
    <cfRule type="expression" dxfId="4" priority="54">
      <formula>AND(TODAY()&gt;=K$5,TODAY()&lt;L$5)</formula>
    </cfRule>
  </conditionalFormatting>
  <conditionalFormatting sqref="K7:CH67 CJ7:CO67 CQ7:CV67">
    <cfRule type="expression" dxfId="3" priority="49" stopIfTrue="1">
      <formula>AND(Fecha_final&gt;=K$5,Fecha_incio&lt;L$5)</formula>
    </cfRule>
  </conditionalFormatting>
  <conditionalFormatting sqref="K7:CW67">
    <cfRule type="expression" dxfId="2" priority="48">
      <formula>AND(Fecha_incio&lt;=K$5,ROUNDDOWN((Fecha_final-Fecha_incio+1)*Progresos,0)+Fecha_incio-1&gt;=K$5)</formula>
    </cfRule>
  </conditionalFormatting>
  <conditionalFormatting sqref="CI5:CI67 CP5:CP67 CW5:CW67">
    <cfRule type="expression" dxfId="1" priority="56">
      <formula>AND(TODAY()&gt;=CI$5,TODAY()&lt;#REF!)</formula>
    </cfRule>
  </conditionalFormatting>
  <conditionalFormatting sqref="CI7:CI67 CP7:CP67 CW7:CW67">
    <cfRule type="expression" dxfId="0" priority="60" stopIfTrue="1">
      <formula>AND(Fecha_final&gt;=CI$5,Fecha_incio&lt;#REF!)</formula>
    </cfRule>
  </conditionalFormatting>
  <dataValidations count="1">
    <dataValidation type="whole" operator="greaterThanOrEqual" allowBlank="1" showInputMessage="1" promptTitle="Mostrar semana" prompt="Al cambiar este número, se desplazará la vista del diagrama de Gantt." sqref="G4" xr:uid="{00000000-0002-0000-0000-000000000000}">
      <formula1>1</formula1>
    </dataValidation>
  </dataValidations>
  <printOptions horizontalCentered="1"/>
  <pageMargins left="0.35" right="0.35" top="0.35" bottom="0.5" header="0.3" footer="0.3"/>
  <pageSetup paperSize="9" scale="53"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F45:F47 F54:F55 F49:F52 F7:F31 F33:F35 F37:F39 F41:F43 F57:F59 F61:F63 F65:F67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08EB8-DABD-4C00-A7D4-1124308B6A39}">
  <sheetPr codeName="Hoja1"/>
  <dimension ref="A1:E45"/>
  <sheetViews>
    <sheetView zoomScale="130" zoomScaleNormal="130" workbookViewId="0">
      <selection activeCell="B24" sqref="B24"/>
    </sheetView>
  </sheetViews>
  <sheetFormatPr baseColWidth="10" defaultRowHeight="15" x14ac:dyDescent="0.25"/>
  <cols>
    <col min="1" max="1" width="9.140625" style="38" bestFit="1" customWidth="1"/>
    <col min="2" max="2" width="29.5703125" style="38" bestFit="1" customWidth="1"/>
    <col min="3" max="3" width="8.85546875" style="38" bestFit="1" customWidth="1"/>
    <col min="4" max="5" width="11.28515625" style="38" bestFit="1" customWidth="1"/>
    <col min="6" max="16384" width="11.42578125" style="38"/>
  </cols>
  <sheetData>
    <row r="1" spans="1:5" x14ac:dyDescent="0.25">
      <c r="A1" s="90" t="s">
        <v>19</v>
      </c>
      <c r="B1" s="90"/>
      <c r="C1" s="90"/>
      <c r="D1" s="90"/>
      <c r="E1" s="90"/>
    </row>
    <row r="2" spans="1:5" x14ac:dyDescent="0.25">
      <c r="A2" s="62" t="s">
        <v>66</v>
      </c>
      <c r="B2" s="62" t="s">
        <v>67</v>
      </c>
      <c r="C2" s="62" t="s">
        <v>68</v>
      </c>
      <c r="D2" s="62" t="s">
        <v>69</v>
      </c>
      <c r="E2" s="62" t="s">
        <v>70</v>
      </c>
    </row>
    <row r="3" spans="1:5" x14ac:dyDescent="0.25">
      <c r="A3" s="63" t="s">
        <v>58</v>
      </c>
      <c r="B3" s="63" t="s">
        <v>71</v>
      </c>
      <c r="C3" s="64">
        <v>0.3</v>
      </c>
      <c r="D3" s="65">
        <v>45830</v>
      </c>
      <c r="E3" s="65">
        <v>45931</v>
      </c>
    </row>
    <row r="4" spans="1:5" ht="30" x14ac:dyDescent="0.25">
      <c r="A4" s="63" t="s">
        <v>61</v>
      </c>
      <c r="B4" s="63" t="s">
        <v>72</v>
      </c>
      <c r="C4" s="64">
        <v>0.8</v>
      </c>
      <c r="D4" s="65">
        <v>45837</v>
      </c>
      <c r="E4" s="65">
        <v>45931</v>
      </c>
    </row>
    <row r="5" spans="1:5" ht="30" x14ac:dyDescent="0.25">
      <c r="A5" s="63" t="s">
        <v>61</v>
      </c>
      <c r="B5" s="63" t="s">
        <v>73</v>
      </c>
      <c r="C5" s="64">
        <v>0.8</v>
      </c>
      <c r="D5" s="65">
        <v>45837</v>
      </c>
      <c r="E5" s="65">
        <v>45931</v>
      </c>
    </row>
    <row r="7" spans="1:5" x14ac:dyDescent="0.25">
      <c r="A7" s="90" t="s">
        <v>18</v>
      </c>
      <c r="B7" s="90"/>
      <c r="C7" s="90"/>
      <c r="D7" s="90"/>
      <c r="E7" s="90"/>
    </row>
    <row r="8" spans="1:5" x14ac:dyDescent="0.25">
      <c r="A8" s="62" t="s">
        <v>66</v>
      </c>
      <c r="B8" s="62" t="s">
        <v>67</v>
      </c>
      <c r="C8" s="62" t="s">
        <v>68</v>
      </c>
      <c r="D8" s="62" t="s">
        <v>69</v>
      </c>
      <c r="E8" s="62" t="s">
        <v>70</v>
      </c>
    </row>
    <row r="9" spans="1:5" ht="30" x14ac:dyDescent="0.25">
      <c r="A9" s="63" t="s">
        <v>58</v>
      </c>
      <c r="B9" s="63" t="s">
        <v>75</v>
      </c>
      <c r="C9" s="64">
        <v>0.8</v>
      </c>
      <c r="D9" s="65">
        <v>45822</v>
      </c>
      <c r="E9" s="65">
        <v>45931</v>
      </c>
    </row>
    <row r="10" spans="1:5" x14ac:dyDescent="0.25">
      <c r="A10" s="63" t="s">
        <v>60</v>
      </c>
      <c r="B10" s="63" t="s">
        <v>76</v>
      </c>
      <c r="C10" s="64">
        <v>0.8</v>
      </c>
      <c r="D10" s="65">
        <v>45837</v>
      </c>
      <c r="E10" s="65">
        <v>45837</v>
      </c>
    </row>
    <row r="11" spans="1:5" ht="30" x14ac:dyDescent="0.25">
      <c r="A11" s="63" t="s">
        <v>61</v>
      </c>
      <c r="B11" s="63" t="s">
        <v>77</v>
      </c>
      <c r="C11" s="64">
        <v>0.1</v>
      </c>
      <c r="D11" s="65">
        <v>45851</v>
      </c>
      <c r="E11" s="65">
        <v>45931</v>
      </c>
    </row>
    <row r="12" spans="1:5" x14ac:dyDescent="0.25">
      <c r="A12" s="63" t="s">
        <v>61</v>
      </c>
      <c r="B12" s="63" t="s">
        <v>78</v>
      </c>
      <c r="C12" s="64">
        <v>0.2</v>
      </c>
      <c r="D12" s="65">
        <v>45837</v>
      </c>
      <c r="E12" s="65">
        <v>45931</v>
      </c>
    </row>
    <row r="13" spans="1:5" x14ac:dyDescent="0.25">
      <c r="A13" s="63" t="s">
        <v>61</v>
      </c>
      <c r="B13" s="63" t="s">
        <v>80</v>
      </c>
      <c r="C13" s="64">
        <v>1</v>
      </c>
      <c r="D13" s="65">
        <v>45828</v>
      </c>
      <c r="E13" s="65">
        <v>45830</v>
      </c>
    </row>
    <row r="14" spans="1:5" x14ac:dyDescent="0.25">
      <c r="A14" s="63" t="s">
        <v>61</v>
      </c>
      <c r="B14" s="63" t="s">
        <v>81</v>
      </c>
      <c r="C14" s="64">
        <v>0</v>
      </c>
      <c r="D14" s="65">
        <v>45830</v>
      </c>
      <c r="E14" s="65">
        <v>45931</v>
      </c>
    </row>
    <row r="15" spans="1:5" ht="30" x14ac:dyDescent="0.25">
      <c r="A15" s="63" t="s">
        <v>61</v>
      </c>
      <c r="B15" s="63" t="s">
        <v>82</v>
      </c>
      <c r="C15" s="64">
        <v>1</v>
      </c>
      <c r="D15" s="65">
        <v>45834</v>
      </c>
      <c r="E15" s="65">
        <v>45838</v>
      </c>
    </row>
    <row r="16" spans="1:5" x14ac:dyDescent="0.25">
      <c r="A16" s="63" t="s">
        <v>60</v>
      </c>
      <c r="B16" s="63" t="s">
        <v>83</v>
      </c>
      <c r="C16" s="64">
        <v>0.5</v>
      </c>
      <c r="D16" s="65">
        <v>45834</v>
      </c>
      <c r="E16" s="65">
        <v>45839</v>
      </c>
    </row>
    <row r="17" spans="1:5" x14ac:dyDescent="0.25">
      <c r="A17" s="63" t="s">
        <v>58</v>
      </c>
      <c r="B17" s="63" t="s">
        <v>84</v>
      </c>
      <c r="C17" s="64">
        <v>0.5</v>
      </c>
      <c r="D17" s="65">
        <v>45829</v>
      </c>
      <c r="E17" s="65">
        <v>45931</v>
      </c>
    </row>
    <row r="18" spans="1:5" ht="30" x14ac:dyDescent="0.25">
      <c r="A18" s="63" t="s">
        <v>60</v>
      </c>
      <c r="B18" s="63" t="s">
        <v>85</v>
      </c>
      <c r="C18" s="64">
        <v>0.75</v>
      </c>
      <c r="D18" s="65">
        <v>45829</v>
      </c>
      <c r="E18" s="65">
        <v>45931</v>
      </c>
    </row>
    <row r="20" spans="1:5" x14ac:dyDescent="0.25">
      <c r="A20" s="91" t="s">
        <v>93</v>
      </c>
      <c r="B20" s="91"/>
      <c r="C20" s="91"/>
      <c r="D20" s="91"/>
      <c r="E20" s="91"/>
    </row>
    <row r="21" spans="1:5" x14ac:dyDescent="0.25">
      <c r="A21" s="62" t="s">
        <v>66</v>
      </c>
      <c r="B21" s="62" t="s">
        <v>67</v>
      </c>
      <c r="C21" s="62" t="s">
        <v>68</v>
      </c>
      <c r="D21" s="62" t="s">
        <v>69</v>
      </c>
      <c r="E21" s="62" t="s">
        <v>70</v>
      </c>
    </row>
    <row r="22" spans="1:5" x14ac:dyDescent="0.25">
      <c r="A22" s="63" t="s">
        <v>58</v>
      </c>
      <c r="B22" s="63" t="s">
        <v>86</v>
      </c>
      <c r="C22" s="64">
        <v>1</v>
      </c>
      <c r="D22" s="65">
        <v>45858</v>
      </c>
      <c r="E22" s="65">
        <v>45862</v>
      </c>
    </row>
    <row r="23" spans="1:5" x14ac:dyDescent="0.25">
      <c r="A23" s="63" t="s">
        <v>58</v>
      </c>
      <c r="B23" s="63" t="s">
        <v>87</v>
      </c>
      <c r="C23" s="64">
        <v>1</v>
      </c>
      <c r="D23" s="65">
        <v>45858</v>
      </c>
      <c r="E23" s="65">
        <v>45862</v>
      </c>
    </row>
    <row r="24" spans="1:5" x14ac:dyDescent="0.25">
      <c r="A24" s="63" t="s">
        <v>58</v>
      </c>
      <c r="B24" s="63" t="s">
        <v>88</v>
      </c>
      <c r="C24" s="64">
        <v>1</v>
      </c>
      <c r="D24" s="65">
        <v>45829</v>
      </c>
      <c r="E24" s="65">
        <v>45829</v>
      </c>
    </row>
    <row r="25" spans="1:5" x14ac:dyDescent="0.25">
      <c r="A25" s="63" t="s">
        <v>58</v>
      </c>
      <c r="B25" s="63" t="s">
        <v>89</v>
      </c>
      <c r="C25" s="64">
        <v>1</v>
      </c>
      <c r="D25" s="65">
        <v>45830</v>
      </c>
      <c r="E25" s="65">
        <v>45834</v>
      </c>
    </row>
    <row r="26" spans="1:5" x14ac:dyDescent="0.25">
      <c r="A26" s="63" t="s">
        <v>61</v>
      </c>
      <c r="B26" s="63" t="s">
        <v>90</v>
      </c>
      <c r="C26" s="64">
        <v>1</v>
      </c>
      <c r="D26" s="65">
        <v>45858</v>
      </c>
      <c r="E26" s="65">
        <v>45858</v>
      </c>
    </row>
    <row r="27" spans="1:5" ht="30" x14ac:dyDescent="0.25">
      <c r="A27" s="63" t="s">
        <v>61</v>
      </c>
      <c r="B27" s="63" t="s">
        <v>91</v>
      </c>
      <c r="C27" s="64">
        <v>0</v>
      </c>
      <c r="D27" s="65" t="s">
        <v>79</v>
      </c>
      <c r="E27" s="65">
        <v>45931</v>
      </c>
    </row>
    <row r="28" spans="1:5" ht="30" x14ac:dyDescent="0.25">
      <c r="A28" s="63" t="s">
        <v>60</v>
      </c>
      <c r="B28" s="63" t="s">
        <v>92</v>
      </c>
      <c r="C28" s="64">
        <v>0</v>
      </c>
      <c r="D28" s="65" t="s">
        <v>79</v>
      </c>
      <c r="E28" s="65">
        <v>45931</v>
      </c>
    </row>
    <row r="30" spans="1:5" x14ac:dyDescent="0.25">
      <c r="A30" s="90" t="s">
        <v>94</v>
      </c>
      <c r="B30" s="90"/>
      <c r="C30" s="90"/>
      <c r="D30" s="90"/>
      <c r="E30" s="90"/>
    </row>
    <row r="31" spans="1:5" x14ac:dyDescent="0.25">
      <c r="A31" s="62" t="s">
        <v>66</v>
      </c>
      <c r="B31" s="62" t="s">
        <v>67</v>
      </c>
      <c r="C31" s="62" t="s">
        <v>68</v>
      </c>
      <c r="D31" s="62" t="s">
        <v>69</v>
      </c>
      <c r="E31" s="62" t="s">
        <v>70</v>
      </c>
    </row>
    <row r="32" spans="1:5" x14ac:dyDescent="0.25">
      <c r="A32" s="63" t="s">
        <v>58</v>
      </c>
      <c r="B32" s="63" t="s">
        <v>95</v>
      </c>
      <c r="C32" s="64">
        <v>1</v>
      </c>
      <c r="D32" s="65">
        <v>45829</v>
      </c>
      <c r="E32" s="65">
        <v>45829</v>
      </c>
    </row>
    <row r="33" spans="1:5" ht="30" x14ac:dyDescent="0.25">
      <c r="A33" s="63" t="s">
        <v>58</v>
      </c>
      <c r="B33" s="63" t="s">
        <v>96</v>
      </c>
      <c r="C33" s="64">
        <v>1</v>
      </c>
      <c r="D33" s="65">
        <v>45837</v>
      </c>
      <c r="E33" s="65">
        <v>45842</v>
      </c>
    </row>
    <row r="34" spans="1:5" x14ac:dyDescent="0.25">
      <c r="A34" s="63" t="s">
        <v>58</v>
      </c>
      <c r="B34" s="63" t="s">
        <v>97</v>
      </c>
      <c r="C34" s="64">
        <v>1</v>
      </c>
      <c r="D34" s="65">
        <v>45829</v>
      </c>
      <c r="E34" s="65">
        <v>45829</v>
      </c>
    </row>
    <row r="35" spans="1:5" x14ac:dyDescent="0.25">
      <c r="A35" s="63" t="s">
        <v>58</v>
      </c>
      <c r="B35" s="63" t="s">
        <v>98</v>
      </c>
      <c r="C35" s="64">
        <v>1</v>
      </c>
      <c r="D35" s="65">
        <v>45837</v>
      </c>
      <c r="E35" s="65">
        <v>45851</v>
      </c>
    </row>
    <row r="36" spans="1:5" ht="30" x14ac:dyDescent="0.25">
      <c r="A36" s="63" t="s">
        <v>60</v>
      </c>
      <c r="B36" s="63" t="s">
        <v>106</v>
      </c>
      <c r="C36" s="64">
        <v>1</v>
      </c>
      <c r="D36" s="65">
        <v>45837</v>
      </c>
      <c r="E36" s="65">
        <v>45851</v>
      </c>
    </row>
    <row r="38" spans="1:5" x14ac:dyDescent="0.25">
      <c r="A38" s="90" t="s">
        <v>99</v>
      </c>
      <c r="B38" s="90"/>
      <c r="C38" s="90"/>
      <c r="D38" s="90"/>
      <c r="E38" s="90"/>
    </row>
    <row r="39" spans="1:5" x14ac:dyDescent="0.25">
      <c r="A39" s="62" t="s">
        <v>66</v>
      </c>
      <c r="B39" s="62" t="s">
        <v>67</v>
      </c>
      <c r="C39" s="62" t="s">
        <v>68</v>
      </c>
      <c r="D39" s="62" t="s">
        <v>69</v>
      </c>
      <c r="E39" s="62" t="s">
        <v>70</v>
      </c>
    </row>
    <row r="40" spans="1:5" x14ac:dyDescent="0.25">
      <c r="A40" s="63" t="s">
        <v>58</v>
      </c>
      <c r="B40" s="63" t="s">
        <v>100</v>
      </c>
      <c r="C40" s="64">
        <v>1</v>
      </c>
      <c r="D40" s="65">
        <v>45837</v>
      </c>
      <c r="E40" s="65">
        <v>45837</v>
      </c>
    </row>
    <row r="41" spans="1:5" x14ac:dyDescent="0.25">
      <c r="A41" s="63" t="s">
        <v>58</v>
      </c>
      <c r="B41" s="63" t="s">
        <v>101</v>
      </c>
      <c r="C41" s="64">
        <v>1</v>
      </c>
      <c r="D41" s="65">
        <v>45837</v>
      </c>
      <c r="E41" s="65">
        <v>45837</v>
      </c>
    </row>
    <row r="42" spans="1:5" x14ac:dyDescent="0.25">
      <c r="A42" s="63" t="s">
        <v>58</v>
      </c>
      <c r="B42" s="63" t="s">
        <v>102</v>
      </c>
      <c r="C42" s="64">
        <v>1</v>
      </c>
      <c r="D42" s="65">
        <v>45837</v>
      </c>
      <c r="E42" s="65">
        <v>45837</v>
      </c>
    </row>
    <row r="43" spans="1:5" x14ac:dyDescent="0.25">
      <c r="A43" s="63" t="s">
        <v>58</v>
      </c>
      <c r="B43" s="63" t="s">
        <v>103</v>
      </c>
      <c r="C43" s="64">
        <v>1</v>
      </c>
      <c r="D43" s="65">
        <v>45837</v>
      </c>
      <c r="E43" s="65">
        <v>45837</v>
      </c>
    </row>
    <row r="44" spans="1:5" ht="30" x14ac:dyDescent="0.25">
      <c r="A44" s="63" t="s">
        <v>58</v>
      </c>
      <c r="B44" s="63" t="s">
        <v>104</v>
      </c>
      <c r="C44" s="64">
        <v>1</v>
      </c>
      <c r="D44" s="65">
        <v>45837</v>
      </c>
      <c r="E44" s="65">
        <v>45837</v>
      </c>
    </row>
    <row r="45" spans="1:5" x14ac:dyDescent="0.25">
      <c r="A45" s="63" t="s">
        <v>60</v>
      </c>
      <c r="B45" s="63" t="s">
        <v>105</v>
      </c>
      <c r="C45" s="64">
        <v>0</v>
      </c>
      <c r="D45" s="65">
        <v>45837</v>
      </c>
      <c r="E45" s="65">
        <v>45931</v>
      </c>
    </row>
  </sheetData>
  <mergeCells count="5">
    <mergeCell ref="A7:E7"/>
    <mergeCell ref="A1:E1"/>
    <mergeCell ref="A20:E20"/>
    <mergeCell ref="A30:E30"/>
    <mergeCell ref="A38:E3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6</vt:i4>
      </vt:variant>
    </vt:vector>
  </HeadingPairs>
  <TitlesOfParts>
    <vt:vector size="8" baseType="lpstr">
      <vt:lpstr>calendarioproyecto</vt:lpstr>
      <vt:lpstr>Hoja1</vt:lpstr>
      <vt:lpstr>calendarioproyecto!Fecha_final</vt:lpstr>
      <vt:lpstr>calendarioproyecto!Fecha_incio</vt:lpstr>
      <vt:lpstr>InicioDelProyecto</vt:lpstr>
      <vt:lpstr>calendarioproyecto!Progresos</vt:lpstr>
      <vt:lpstr>SemanaParaMostrar</vt:lpstr>
      <vt:lpstr>calendarioproyecto!Títulos_a_imprimir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2019-03-19T17:17:03Z</dcterms:created>
  <dcterms:modified xsi:type="dcterms:W3CDTF">2026-03-24T02:00:34Z</dcterms:modified>
</cp:coreProperties>
</file>